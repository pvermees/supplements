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F1664FC1-BADD-EB4C-B8A5-E85A13DF98F4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G34" i="2"/>
  <c r="G35" i="2"/>
  <c r="A35" i="2"/>
  <c r="A33" i="2"/>
  <c r="A34" i="2"/>
  <c r="A29" i="2"/>
  <c r="A30" i="2" s="1"/>
  <c r="A31" i="2" s="1"/>
  <c r="A32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<sst xmlns="http://schemas.openxmlformats.org/spreadsheetml/2006/main" count="195" uniqueCount="126">
  <si>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</si>
  <si>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</si>
  <si>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</si>
  <si>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</si>
  <si>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</si>
  <si>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</si>
  <si>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</si>
  <si>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</si>
  <si>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</si>
  <si>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</si>
  <si>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</si>
  <si>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</si>
  <si>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</si>
  <si>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</si>
  <si>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</si>
  <si>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</si>
  <si>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</si>
  <si>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</si>
  <si>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</si>
  <si>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</si>
  <si>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</si>
  <si>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</si>
  <si>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</si>
  <si>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</si>
  <si>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</si>
  <si>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</si>
  <si>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</si>
  <si>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</si>
  <si>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</si>
  <si>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</si>
  <si>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</si>
  <si>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</si>
  <si>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</si>
  <si>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</si>
  <si>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</si>
  <si>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</si>
  <si>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</si>
  <si>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</si>
  <si>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</si>
  <si>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</si>
  <si>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</si>
  <si>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</si>
  <si>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</si>
  <si>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</si>
  <si>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</si>
  <si>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</si>
  <si>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</si>
  <si>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</si>
  <si>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</si>
  <si>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</si>
  <si>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</si>
  <si>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</si>
  <si>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</si>
  <si>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</si>
  <si>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</si>
  <si>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</si>
  <si>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</si>
  <si>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</si>
  <si>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</si>
  <si>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</si>
  <si>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</si>
  <si>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</si>
  <si>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</si>
  <si>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</si>
  <si>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</si>
  <si>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</si>
  <si>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</si>
  <si>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</si>
  <si>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</si>
  <si>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</si>
  <si>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</si>
  <si>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</si>
  <si>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</si>
  <si>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</si>
  <si>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</si>
  <si>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</si>
  <si>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</si>
  <si>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</si>
  <si>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</si>
  <si>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</si>
  <si>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</si>
  <si>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</si>
  <si>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</si>
  <si>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</si>
  <si>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</si>
  <si>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</si>
  <si>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</si>
  <si>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</si>
  <si>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</si>
  <si>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</si>
  <si>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</si>
  <si>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</si>
  <si>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</si>
  <si>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</si>
  <si>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</si>
  <si>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</si>
  <si>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</si>
  <si>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</si>
  <si>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</si>
  <si>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</si>
  <si>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</si>
  <si>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</si>
  <si>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</si>
  <si>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</si>
  <si>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</si>
  <si>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</si>
  <si>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</si>
  <si>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</si>
  <si>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</si>
  <si>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</si>
  <si>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</si>
  <si>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</si>
  <si>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</si>
  <si>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</si>
  <si>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</si>
  <si>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</si>
  <si>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</si>
  <si>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</si>
  <si>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</si>
  <si>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</si>
  <si>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</si>
  <si>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</si>
  <si>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</si>
  <si>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</si>
  <si>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70-15</t>
  </si>
  <si>
    <t>IERMT0007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</si>
</sst>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A14" zoomScale="130" zoomScaleNormal="130" workbookViewId="0">
      <selection activeCell="A31" sqref="A3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60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9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5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9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2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1">
        <v>993272.72727272683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1">
        <v>8825.3436574517873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29.7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2.9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2.9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92.8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3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45.3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7.9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4">
        <v>7.9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26.7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2.8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4">
        <v>2.8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11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topLeftCell="C1" zoomScale="140" zoomScaleNormal="140" workbookViewId="0">
      <selection activeCell="F40" sqref="F40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17</v>
      </c>
      <c r="C11" s="39">
        <v>119</v>
      </c>
      <c r="D11" s="48">
        <v>2.0630052646464301</v>
      </c>
      <c r="E11" s="54">
        <v>346938.77551020408</v>
      </c>
      <c r="F11" s="54">
        <v>2428571.4285714286</v>
      </c>
      <c r="G11" s="48">
        <f>E11/F11</f>
        <v>0.14285714285714285</v>
      </c>
      <c r="H11" s="54">
        <v>4.8999999999999998E-5</v>
      </c>
      <c r="I11" s="48">
        <v>36.675296148113304</v>
      </c>
      <c r="J11" s="48">
        <v>16.329282746618166</v>
      </c>
      <c r="K11" s="48">
        <v>4.3809007518799419</v>
      </c>
      <c r="L11" s="48">
        <v>4.3809007518799419</v>
      </c>
    </row>
    <row r="12" spans="1:12" ht="12.75" customHeight="1" x14ac:dyDescent="0.15">
      <c r="A12" s="42">
        <v>2</v>
      </c>
      <c r="B12" s="39">
        <v>20</v>
      </c>
      <c r="C12" s="39">
        <v>49</v>
      </c>
      <c r="D12" s="48">
        <v>1.4588336339370449</v>
      </c>
      <c r="E12" s="54">
        <v>416666.66666666663</v>
      </c>
      <c r="F12" s="54">
        <v>1020833.3333333333</v>
      </c>
      <c r="G12" s="48">
        <f t="shared" ref="G12:G35" si="0">E12/F12</f>
        <v>0.40816326530612246</v>
      </c>
      <c r="H12" s="54">
        <v>4.8000000000000001E-5</v>
      </c>
      <c r="I12" s="48">
        <v>15.416209042650562</v>
      </c>
      <c r="J12" s="48">
        <v>46.545806436358241</v>
      </c>
      <c r="K12" s="48">
        <v>12.760521174983513</v>
      </c>
      <c r="L12" s="48">
        <v>12.760521174983513</v>
      </c>
    </row>
    <row r="13" spans="1:12" ht="12.75" customHeight="1" x14ac:dyDescent="0.15">
      <c r="A13" s="42">
        <v>3</v>
      </c>
      <c r="B13" s="39">
        <v>6</v>
      </c>
      <c r="C13" s="39">
        <v>9</v>
      </c>
      <c r="D13" s="48">
        <v>1.6961022087165134</v>
      </c>
      <c r="E13" s="54">
        <v>150000</v>
      </c>
      <c r="F13" s="54">
        <v>225000.00000000003</v>
      </c>
      <c r="G13" s="48">
        <f t="shared" si="0"/>
        <v>0.66666666666666663</v>
      </c>
      <c r="H13" s="54">
        <v>3.9999999999999996E-5</v>
      </c>
      <c r="I13" s="48">
        <v>3.397858319604615</v>
      </c>
      <c r="J13" s="48">
        <v>75.851959645569792</v>
      </c>
      <c r="K13" s="48">
        <v>40.317846036329009</v>
      </c>
      <c r="L13" s="48">
        <v>40.317846036329009</v>
      </c>
    </row>
    <row r="14" spans="1:12" ht="12.75" customHeight="1" x14ac:dyDescent="0.15">
      <c r="A14" s="42">
        <v>4</v>
      </c>
      <c r="B14" s="39">
        <v>5</v>
      </c>
      <c r="C14" s="39">
        <v>27</v>
      </c>
      <c r="D14" s="48">
        <v>1.7046924582697267</v>
      </c>
      <c r="E14" s="54">
        <v>83333.333333333343</v>
      </c>
      <c r="F14" s="54">
        <v>450000.00000000006</v>
      </c>
      <c r="G14" s="48">
        <f t="shared" si="0"/>
        <v>0.18518518518518517</v>
      </c>
      <c r="H14" s="54">
        <v>5.9999999999999995E-5</v>
      </c>
      <c r="I14" s="48">
        <v>6.7957166392092301</v>
      </c>
      <c r="J14" s="48">
        <v>21.159657105759027</v>
      </c>
      <c r="K14" s="48">
        <v>10.40459217773954</v>
      </c>
      <c r="L14" s="48">
        <v>10.40459217773954</v>
      </c>
    </row>
    <row r="15" spans="1:12" ht="12.75" customHeight="1" x14ac:dyDescent="0.15">
      <c r="A15" s="42">
        <v>5</v>
      </c>
      <c r="B15" s="39">
        <v>6</v>
      </c>
      <c r="C15" s="39">
        <v>14</v>
      </c>
      <c r="D15" s="48">
        <v>1.4418755978767133</v>
      </c>
      <c r="E15" s="54">
        <v>150000</v>
      </c>
      <c r="F15" s="54">
        <v>350000.00000000006</v>
      </c>
      <c r="G15" s="48">
        <f t="shared" si="0"/>
        <v>0.42857142857142849</v>
      </c>
      <c r="H15" s="54">
        <v>3.9999999999999996E-5</v>
      </c>
      <c r="I15" s="48">
        <v>5.2855573860516234</v>
      </c>
      <c r="J15" s="48">
        <v>48.864299373587976</v>
      </c>
      <c r="K15" s="48">
        <v>24.079995545633864</v>
      </c>
      <c r="L15" s="48">
        <v>24.079995545633864</v>
      </c>
    </row>
    <row r="16" spans="1:12" ht="12.75" customHeight="1" x14ac:dyDescent="0.15">
      <c r="A16" s="42">
        <v>6</v>
      </c>
      <c r="B16" s="39">
        <v>9</v>
      </c>
      <c r="C16" s="39">
        <v>14</v>
      </c>
      <c r="D16" s="48">
        <v>1.5552992303085433</v>
      </c>
      <c r="E16" s="54">
        <v>100000.00000000001</v>
      </c>
      <c r="F16" s="54">
        <v>155555.55555555556</v>
      </c>
      <c r="G16" s="48">
        <f t="shared" si="0"/>
        <v>0.6428571428571429</v>
      </c>
      <c r="H16" s="54">
        <v>8.9999999999999992E-5</v>
      </c>
      <c r="I16" s="48">
        <v>2.3491366160229434</v>
      </c>
      <c r="J16" s="48">
        <v>73.158271353444761</v>
      </c>
      <c r="K16" s="48">
        <v>31.660682401441242</v>
      </c>
      <c r="L16" s="48">
        <v>31.660682401441242</v>
      </c>
    </row>
    <row r="17" spans="1:12" ht="12.75" customHeight="1" x14ac:dyDescent="0.15">
      <c r="A17" s="42">
        <v>7</v>
      </c>
      <c r="B17" s="39">
        <v>5</v>
      </c>
      <c r="C17" s="39">
        <v>30</v>
      </c>
      <c r="D17" s="48">
        <v>1.3164145919894901</v>
      </c>
      <c r="E17" s="54">
        <v>69444.444444444438</v>
      </c>
      <c r="F17" s="54">
        <v>416666.66666666663</v>
      </c>
      <c r="G17" s="48">
        <f t="shared" si="0"/>
        <v>0.16666666666666666</v>
      </c>
      <c r="H17" s="54">
        <v>7.2000000000000002E-5</v>
      </c>
      <c r="I17" s="48">
        <v>6.2923302214900261</v>
      </c>
      <c r="J17" s="48">
        <v>19.046813600775831</v>
      </c>
      <c r="K17" s="48">
        <v>9.2936595164087947</v>
      </c>
      <c r="L17" s="48">
        <v>9.2936595164087947</v>
      </c>
    </row>
    <row r="18" spans="1:12" ht="12.75" customHeight="1" x14ac:dyDescent="0.15">
      <c r="A18" s="42">
        <v>8</v>
      </c>
      <c r="B18" s="39">
        <v>3</v>
      </c>
      <c r="C18" s="39">
        <v>41</v>
      </c>
      <c r="D18" s="48">
        <v>1.7346360458032599</v>
      </c>
      <c r="E18" s="54">
        <v>75000</v>
      </c>
      <c r="F18" s="54">
        <v>1025000.0000000001</v>
      </c>
      <c r="G18" s="48">
        <f t="shared" si="0"/>
        <v>7.3170731707317069E-2</v>
      </c>
      <c r="H18" s="54">
        <v>3.9999999999999996E-5</v>
      </c>
      <c r="I18" s="48">
        <v>15.479132344865468</v>
      </c>
      <c r="J18" s="48">
        <v>8.3689453738599351</v>
      </c>
      <c r="K18" s="48">
        <v>5.0385881769286662</v>
      </c>
      <c r="L18" s="48">
        <v>5.0385881769286662</v>
      </c>
    </row>
    <row r="19" spans="1:12" ht="12.75" customHeight="1" x14ac:dyDescent="0.15">
      <c r="A19" s="42">
        <v>9</v>
      </c>
      <c r="B19" s="39">
        <v>5</v>
      </c>
      <c r="C19" s="39">
        <v>4</v>
      </c>
      <c r="D19" s="48">
        <v>1.40382550518217</v>
      </c>
      <c r="E19" s="54">
        <v>142857.14285714287</v>
      </c>
      <c r="F19" s="54">
        <v>114285.71428571429</v>
      </c>
      <c r="G19" s="48">
        <f t="shared" si="0"/>
        <v>1.25</v>
      </c>
      <c r="H19" s="54">
        <v>3.4999999999999997E-5</v>
      </c>
      <c r="I19" s="48">
        <v>1.7258962893229788</v>
      </c>
      <c r="J19" s="48">
        <v>141.49820519881109</v>
      </c>
      <c r="K19" s="48">
        <v>95.41952444038013</v>
      </c>
      <c r="L19" s="48">
        <v>95.41952444038013</v>
      </c>
    </row>
    <row r="20" spans="1:12" ht="12.75" customHeight="1" x14ac:dyDescent="0.15">
      <c r="A20" s="42">
        <v>10</v>
      </c>
      <c r="B20" s="39">
        <v>8</v>
      </c>
      <c r="C20" s="39">
        <v>53</v>
      </c>
      <c r="D20" s="48">
        <v>1.735169530361095</v>
      </c>
      <c r="E20" s="54">
        <v>142857.14285714287</v>
      </c>
      <c r="F20" s="54">
        <v>946428.57142857148</v>
      </c>
      <c r="G20" s="48">
        <f t="shared" si="0"/>
        <v>0.15094339622641509</v>
      </c>
      <c r="H20" s="54">
        <v>5.5999999999999999E-5</v>
      </c>
      <c r="I20" s="48">
        <v>14.292578645955919</v>
      </c>
      <c r="J20" s="48">
        <v>17.252346205181404</v>
      </c>
      <c r="K20" s="48">
        <v>6.650949441766171</v>
      </c>
      <c r="L20" s="48">
        <v>6.650949441766171</v>
      </c>
    </row>
    <row r="21" spans="1:12" ht="12.75" customHeight="1" x14ac:dyDescent="0.15">
      <c r="A21" s="42">
        <v>11</v>
      </c>
      <c r="B21" s="39">
        <v>7</v>
      </c>
      <c r="C21" s="39">
        <v>24</v>
      </c>
      <c r="D21" s="48">
        <v>1.5963446046083931</v>
      </c>
      <c r="E21" s="54">
        <v>145833.33333333334</v>
      </c>
      <c r="F21" s="54">
        <v>500000</v>
      </c>
      <c r="G21" s="48">
        <f t="shared" si="0"/>
        <v>0.29166666666666669</v>
      </c>
      <c r="H21" s="54">
        <v>4.8000000000000001E-5</v>
      </c>
      <c r="I21" s="48">
        <v>7.5507962657880316</v>
      </c>
      <c r="J21" s="48">
        <v>33.295089018407474</v>
      </c>
      <c r="K21" s="48">
        <v>14.48522856465828</v>
      </c>
      <c r="L21" s="48">
        <v>14.48522856465828</v>
      </c>
    </row>
    <row r="22" spans="1:12" ht="12.75" customHeight="1" x14ac:dyDescent="0.15">
      <c r="A22" s="42">
        <v>12</v>
      </c>
      <c r="B22" s="39">
        <v>15</v>
      </c>
      <c r="C22" s="39">
        <v>93</v>
      </c>
      <c r="D22" s="48">
        <v>1.5614568149361683</v>
      </c>
      <c r="E22" s="54">
        <v>150000</v>
      </c>
      <c r="F22" s="54">
        <v>930000.00000000012</v>
      </c>
      <c r="G22" s="48">
        <f t="shared" si="0"/>
        <v>0.16129032258064513</v>
      </c>
      <c r="H22" s="54">
        <v>9.9999999999999991E-5</v>
      </c>
      <c r="I22" s="48">
        <v>14.044481054365741</v>
      </c>
      <c r="J22" s="48">
        <v>18.433277712772849</v>
      </c>
      <c r="K22" s="48">
        <v>5.2839329527320071</v>
      </c>
      <c r="L22" s="48">
        <v>5.2839329527320071</v>
      </c>
    </row>
    <row r="23" spans="1:12" ht="12.75" customHeight="1" x14ac:dyDescent="0.15">
      <c r="A23" s="42">
        <v>13</v>
      </c>
      <c r="B23" s="39">
        <v>4</v>
      </c>
      <c r="C23" s="39">
        <v>38</v>
      </c>
      <c r="D23" s="48">
        <v>1.424040306479317</v>
      </c>
      <c r="E23" s="54">
        <v>80000</v>
      </c>
      <c r="F23" s="54">
        <v>760000.00000000012</v>
      </c>
      <c r="G23" s="48">
        <f t="shared" si="0"/>
        <v>0.10526315789473682</v>
      </c>
      <c r="H23" s="54">
        <v>4.9999999999999996E-5</v>
      </c>
      <c r="I23" s="48">
        <v>11.477210323997811</v>
      </c>
      <c r="J23" s="48">
        <v>12.03611112629547</v>
      </c>
      <c r="K23" s="48">
        <v>6.3810202424938964</v>
      </c>
      <c r="L23" s="48">
        <v>6.3810202424938964</v>
      </c>
    </row>
    <row r="24" spans="1:12" ht="12.75" customHeight="1" x14ac:dyDescent="0.15">
      <c r="A24" s="42">
        <v>14</v>
      </c>
      <c r="B24" s="40">
        <v>7</v>
      </c>
      <c r="C24" s="40">
        <v>22</v>
      </c>
      <c r="D24" s="41">
        <v>1.6747747682129801</v>
      </c>
      <c r="E24" s="55">
        <v>116666.66666666667</v>
      </c>
      <c r="F24" s="55">
        <v>366666.66666666669</v>
      </c>
      <c r="G24" s="48">
        <f t="shared" si="0"/>
        <v>0.31818181818181818</v>
      </c>
      <c r="H24" s="54">
        <v>5.9999999999999995E-5</v>
      </c>
      <c r="I24" s="41">
        <v>5.5372505949112236</v>
      </c>
      <c r="J24" s="41">
        <v>36.313406750151771</v>
      </c>
      <c r="K24" s="41">
        <v>15.955666721061419</v>
      </c>
      <c r="L24" s="41">
        <v>15.955666721061419</v>
      </c>
    </row>
    <row r="25" spans="1:12" ht="12.75" customHeight="1" x14ac:dyDescent="0.15">
      <c r="A25" s="42">
        <v>15</v>
      </c>
      <c r="B25" s="40">
        <v>10</v>
      </c>
      <c r="C25" s="40">
        <v>34</v>
      </c>
      <c r="D25" s="41">
        <v>1.9535811287479199</v>
      </c>
      <c r="E25" s="55">
        <v>101010.10101010102</v>
      </c>
      <c r="F25" s="55">
        <v>343434.34343434346</v>
      </c>
      <c r="G25" s="48">
        <f t="shared" si="0"/>
        <v>0.29411764705882354</v>
      </c>
      <c r="H25" s="54">
        <v>9.8999999999999994E-5</v>
      </c>
      <c r="I25" s="41">
        <v>5.186405515894811</v>
      </c>
      <c r="J25" s="41">
        <v>33.574152455929237</v>
      </c>
      <c r="K25" s="41">
        <v>12.297570269056038</v>
      </c>
      <c r="L25" s="41">
        <v>12.297570269056038</v>
      </c>
    </row>
    <row r="26" spans="1:12" ht="12.75" customHeight="1" x14ac:dyDescent="0.15">
      <c r="A26" s="42">
        <v>16</v>
      </c>
      <c r="B26" s="40">
        <v>18</v>
      </c>
      <c r="C26" s="40">
        <v>83</v>
      </c>
      <c r="D26" s="41">
        <v>1.4514416950375739</v>
      </c>
      <c r="E26" s="55">
        <v>180000.00000000003</v>
      </c>
      <c r="F26" s="55">
        <v>830000.00000000012</v>
      </c>
      <c r="G26" s="48">
        <f t="shared" si="0"/>
        <v>0.21686746987951808</v>
      </c>
      <c r="H26" s="54">
        <v>9.9999999999999991E-5</v>
      </c>
      <c r="I26" s="41">
        <v>12.534321801208135</v>
      </c>
      <c r="J26" s="41">
        <v>24.772796613555919</v>
      </c>
      <c r="K26" s="41">
        <v>6.6635447725278123</v>
      </c>
      <c r="L26" s="41">
        <v>6.6635447725278123</v>
      </c>
    </row>
    <row r="27" spans="1:12" ht="12.75" customHeight="1" x14ac:dyDescent="0.15">
      <c r="A27" s="42">
        <v>17</v>
      </c>
      <c r="B27" s="40">
        <v>8</v>
      </c>
      <c r="C27" s="40">
        <v>40</v>
      </c>
      <c r="D27" s="41">
        <v>1.535029944523624</v>
      </c>
      <c r="E27" s="55">
        <v>82474.226804123711</v>
      </c>
      <c r="F27" s="55">
        <v>412371.13402061857</v>
      </c>
      <c r="G27" s="48">
        <f t="shared" si="0"/>
        <v>0.19999999999999998</v>
      </c>
      <c r="H27" s="54">
        <v>9.7E-5</v>
      </c>
      <c r="I27" s="41">
        <v>6.227460837763326</v>
      </c>
      <c r="J27" s="41">
        <v>22.84943353545312</v>
      </c>
      <c r="K27" s="41">
        <v>8.9885710801409093</v>
      </c>
      <c r="L27" s="41">
        <v>8.9885710801409093</v>
      </c>
    </row>
    <row r="28" spans="1:12" ht="12.75" customHeight="1" x14ac:dyDescent="0.15">
      <c r="A28" s="42">
        <f>1+A27</f>
        <v>18</v>
      </c>
      <c r="B28" s="40">
        <v>12</v>
      </c>
      <c r="C28" s="40">
        <v>13</v>
      </c>
      <c r="D28" s="41">
        <v>1.6768689890686099</v>
      </c>
      <c r="E28" s="55">
        <v>120000.00000000001</v>
      </c>
      <c r="F28" s="55">
        <v>130000.00000000001</v>
      </c>
      <c r="G28" s="48">
        <f t="shared" si="0"/>
        <v>0.92307692307692313</v>
      </c>
      <c r="H28" s="54">
        <v>9.9999999999999991E-5</v>
      </c>
      <c r="I28" s="41">
        <v>1.9632070291048886</v>
      </c>
      <c r="J28" s="41">
        <v>104.78981389794509</v>
      </c>
      <c r="K28" s="41">
        <v>42.566640384698779</v>
      </c>
      <c r="L28" s="41">
        <v>42.566640384698779</v>
      </c>
    </row>
    <row r="29" spans="1:12" ht="12.75" customHeight="1" x14ac:dyDescent="0.15">
      <c r="A29" s="42">
        <f t="shared" ref="A29:A34" si="1">1+A28</f>
        <v>19</v>
      </c>
      <c r="B29" s="40">
        <v>6</v>
      </c>
      <c r="C29" s="40">
        <v>46</v>
      </c>
      <c r="D29" s="41">
        <v>1.5973590451225768</v>
      </c>
      <c r="E29" s="55">
        <v>60000.000000000007</v>
      </c>
      <c r="F29" s="55">
        <v>460000.00000000006</v>
      </c>
      <c r="G29" s="48">
        <f t="shared" si="0"/>
        <v>0.13043478260869565</v>
      </c>
      <c r="H29" s="54">
        <v>9.9999999999999991E-5</v>
      </c>
      <c r="I29" s="41">
        <v>6.9467325645249902</v>
      </c>
      <c r="J29" s="41">
        <v>14.910985731850545</v>
      </c>
      <c r="K29" s="41">
        <v>6.5533013665386681</v>
      </c>
      <c r="L29" s="41">
        <v>6.5533013665386681</v>
      </c>
    </row>
    <row r="30" spans="1:12" ht="12.75" customHeight="1" x14ac:dyDescent="0.15">
      <c r="A30" s="42">
        <f t="shared" si="1"/>
        <v>20</v>
      </c>
      <c r="B30" s="40">
        <v>12</v>
      </c>
      <c r="C30" s="40">
        <v>44</v>
      </c>
      <c r="D30" s="41">
        <v>1.6552761489022931</v>
      </c>
      <c r="E30" s="55">
        <v>133333.33333333334</v>
      </c>
      <c r="F30" s="55">
        <v>488888.88888888893</v>
      </c>
      <c r="G30" s="48">
        <f t="shared" si="0"/>
        <v>0.27272727272727271</v>
      </c>
      <c r="H30" s="54">
        <v>8.9999999999999992E-5</v>
      </c>
      <c r="I30" s="41">
        <v>7.3830007932149648</v>
      </c>
      <c r="J30" s="41">
        <v>31.13828235232906</v>
      </c>
      <c r="K30" s="41">
        <v>10.365378477761823</v>
      </c>
      <c r="L30" s="41">
        <v>10.365378477761823</v>
      </c>
    </row>
    <row r="31" spans="1:12" ht="12.75" customHeight="1" x14ac:dyDescent="0.15">
      <c r="A31" s="42">
        <f t="shared" si="1"/>
        <v>21</v>
      </c>
      <c r="B31" s="40">
        <v>17</v>
      </c>
      <c r="C31" s="40">
        <v>12</v>
      </c>
      <c r="D31" s="41">
        <v>1.5874213189111401</v>
      </c>
      <c r="E31" s="55">
        <v>212500.00000000003</v>
      </c>
      <c r="F31" s="55">
        <v>150000</v>
      </c>
      <c r="G31" s="48">
        <f t="shared" si="0"/>
        <v>1.416666666666667</v>
      </c>
      <c r="H31" s="54">
        <v>7.9999999999999993E-5</v>
      </c>
      <c r="I31" s="41">
        <v>2.2652388797364096</v>
      </c>
      <c r="J31" s="41">
        <v>160.13216074953553</v>
      </c>
      <c r="K31" s="41">
        <v>61.376128519062902</v>
      </c>
      <c r="L31" s="41">
        <v>61.376128519062902</v>
      </c>
    </row>
    <row r="32" spans="1:12" ht="12.75" customHeight="1" x14ac:dyDescent="0.15">
      <c r="A32" s="42">
        <f t="shared" si="1"/>
        <v>22</v>
      </c>
      <c r="B32" s="40">
        <v>6</v>
      </c>
      <c r="C32" s="40">
        <v>16</v>
      </c>
      <c r="D32" s="41">
        <v>1.5252600000000001</v>
      </c>
      <c r="E32" s="55">
        <v>60000.000000000007</v>
      </c>
      <c r="F32" s="55">
        <v>160000</v>
      </c>
      <c r="G32" s="48">
        <f t="shared" si="0"/>
        <v>0.37500000000000006</v>
      </c>
      <c r="H32" s="55">
        <v>9.9999999999999991E-5</v>
      </c>
      <c r="I32" s="41">
        <v>2.4162548050521702</v>
      </c>
      <c r="J32" s="41">
        <v>42.776476325727302</v>
      </c>
      <c r="K32" s="41">
        <v>20.688810317963675</v>
      </c>
      <c r="L32" s="41">
        <v>20.688810317963675</v>
      </c>
    </row>
    <row r="33" spans="1:12" ht="12.75" customHeight="1" x14ac:dyDescent="0.15">
      <c r="A33" s="42">
        <f>1+A32</f>
        <v>23</v>
      </c>
      <c r="B33" s="40">
        <v>13</v>
      </c>
      <c r="C33" s="40">
        <v>79</v>
      </c>
      <c r="D33" s="41">
        <v>1.5692634559343581</v>
      </c>
      <c r="E33" s="55">
        <v>216666.66666666669</v>
      </c>
      <c r="F33" s="55">
        <v>1316666.6666666667</v>
      </c>
      <c r="G33" s="48">
        <f t="shared" si="0"/>
        <v>0.16455696202531647</v>
      </c>
      <c r="H33" s="54">
        <v>5.9999999999999995E-5</v>
      </c>
      <c r="I33" s="41">
        <v>19.883763499908483</v>
      </c>
      <c r="J33" s="41">
        <v>18.80606597178571</v>
      </c>
      <c r="K33" s="41">
        <v>5.7759802058501419</v>
      </c>
      <c r="L33" s="41">
        <v>5.7759802058501419</v>
      </c>
    </row>
    <row r="34" spans="1:12" ht="12.75" customHeight="1" x14ac:dyDescent="0.15">
      <c r="A34" s="42">
        <f t="shared" si="1"/>
        <v>24</v>
      </c>
      <c r="B34" s="40">
        <v>24</v>
      </c>
      <c r="C34" s="40">
        <v>48</v>
      </c>
      <c r="D34" s="41">
        <v>1.4654669902962434</v>
      </c>
      <c r="E34" s="55">
        <v>240000.00000000003</v>
      </c>
      <c r="F34" s="55">
        <v>480000.00000000006</v>
      </c>
      <c r="G34" s="48">
        <f t="shared" si="0"/>
        <v>0.5</v>
      </c>
      <c r="H34" s="55">
        <v>9.9999999999999991E-5</v>
      </c>
      <c r="I34" s="41">
        <v>7.2487644151565114</v>
      </c>
      <c r="J34" s="41">
        <v>56.972465350722004</v>
      </c>
      <c r="K34" s="41">
        <v>14.774435794836114</v>
      </c>
      <c r="L34" s="41">
        <v>14.774435794836114</v>
      </c>
    </row>
    <row r="35" spans="1:12" ht="12.75" customHeight="1" x14ac:dyDescent="0.15">
      <c r="A35" s="42">
        <f>1+A34</f>
        <v>25</v>
      </c>
      <c r="B35" s="40">
        <v>10</v>
      </c>
      <c r="C35" s="40">
        <v>21</v>
      </c>
      <c r="D35" s="41">
        <v>1.6610409853136801</v>
      </c>
      <c r="E35" s="55">
        <v>333333.33333333337</v>
      </c>
      <c r="F35" s="55">
        <v>700000.00000000012</v>
      </c>
      <c r="G35" s="48">
        <f t="shared" si="0"/>
        <v>0.47619047619047616</v>
      </c>
      <c r="H35" s="55">
        <v>2.9999999999999997E-5</v>
      </c>
      <c r="I35" s="41">
        <v>10.571114772103247</v>
      </c>
      <c r="J35" s="41">
        <v>54.270876159911133</v>
      </c>
      <c r="K35" s="41">
        <v>21.184347808987322</v>
      </c>
      <c r="L35" s="41">
        <v>21.184347808987322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A51" sqref="A51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57"/>
      <c r="C9" s="57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8"/>
      <c r="C10" s="5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8"/>
      <c r="C11" s="58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8"/>
      <c r="C12" s="5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8"/>
      <c r="C13" s="5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8"/>
      <c r="C14" s="5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8"/>
      <c r="C15" s="5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8"/>
      <c r="C16" s="5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8"/>
      <c r="C17" s="5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8"/>
      <c r="C18" s="58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8"/>
      <c r="C19" s="5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8"/>
      <c r="C20" s="5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8"/>
      <c r="C21" s="5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8"/>
      <c r="C22" s="58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8"/>
      <c r="C23" s="5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8"/>
      <c r="C24" s="5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8"/>
      <c r="C25" s="5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8"/>
      <c r="C26" s="5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8"/>
      <c r="C27" s="58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8"/>
      <c r="C28" s="5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8"/>
      <c r="C29" s="58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8"/>
      <c r="C30" s="58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8"/>
      <c r="C31" s="58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8"/>
      <c r="C32" s="58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8"/>
      <c r="C33" s="58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8"/>
      <c r="C34" s="5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8"/>
      <c r="C35" s="58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8"/>
      <c r="C36" s="58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8"/>
      <c r="C37" s="58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8"/>
      <c r="C38" s="58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8"/>
      <c r="C39" s="58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8"/>
      <c r="C40" s="5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8"/>
      <c r="C41" s="5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8"/>
      <c r="C42" s="5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8"/>
      <c r="C43" s="58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8"/>
      <c r="C44" s="58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8"/>
      <c r="C45" s="58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8"/>
      <c r="C46" s="5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8"/>
      <c r="C47" s="58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8"/>
      <c r="C48" s="58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8"/>
      <c r="C49" s="58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8"/>
      <c r="C50" s="58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8"/>
      <c r="C51" s="58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8"/>
      <c r="C52" s="5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8"/>
      <c r="C53" s="58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8"/>
      <c r="C54" s="58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8"/>
      <c r="C55" s="58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8"/>
      <c r="C56" s="58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8"/>
      <c r="C57" s="58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8"/>
      <c r="C58" s="58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8"/>
      <c r="C59" s="58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8"/>
      <c r="C60" s="58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2021-04-21T13:19:41Z</dcterms:modified>
</cp:coreProperties>
</file>