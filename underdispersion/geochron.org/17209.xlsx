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Apatite Fission Track/"/>
    </mc:Choice>
  </mc:AlternateContent>
  <xr:revisionPtr revIDLastSave="0" documentId="13_ncr:1_{1F1E8BD8-4C42-5745-A3F2-271675209607}" xr6:coauthVersionLast="46" xr6:coauthVersionMax="46" xr10:uidLastSave="{00000000-0000-0000-0000-000000000000}"/>
  <bookViews>
    <workbookView xWindow="16140" yWindow="460" windowWidth="17460" windowHeight="20540" activeTab="1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28" i="2" l="1"/>
  <c r="G29" i="2"/>
  <c r="G30" i="2"/>
  <c r="G31" i="2"/>
  <c r="G32" i="2"/>
  <c r="G33" i="2"/>
  <c r="A29" i="2"/>
  <c r="A30" i="2" s="1"/>
  <c r="A31" i="2" s="1"/>
  <c r="A32" i="2" s="1"/>
  <c r="A33" i="2" s="1"/>
  <c r="A28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<sst xmlns="http://schemas.openxmlformats.org/spreadsheetml/2006/main" count="195" uniqueCount="126">
  <si>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</si>
  <si>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</si>
  <si>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</si>
  <si>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</si>
  <si>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</si>
  <si>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</si>
  <si>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</si>
  <si>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</si>
  <si>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</si>
  <si>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</si>
  <si>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</si>
  <si>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</si>
  <si>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</si>
  <si>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</si>
  <si>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</si>
  <si>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</si>
  <si>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</si>
  <si>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</si>
  <si>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</si>
  <si>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</si>
  <si>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</si>
  <si>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</si>
  <si>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</si>
  <si>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</si>
  <si>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</si>
  <si>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</si>
  <si>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</si>
  <si>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</si>
  <si>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</si>
  <si>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</si>
  <si>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</si>
  <si>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</si>
  <si>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</si>
  <si>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</si>
  <si>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</si>
  <si>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</si>
  <si>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</si>
  <si>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</si>
  <si>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</si>
  <si>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</si>
  <si>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</si>
  <si>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</si>
  <si>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</si>
  <si>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</si>
  <si>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</si>
  <si>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</si>
  <si>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</si>
  <si>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</si>
  <si>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</si>
  <si>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</si>
  <si>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</si>
  <si>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</si>
  <si>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</si>
  <si>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</si>
  <si>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</si>
  <si>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</si>
  <si>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</si>
  <si>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</si>
  <si>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</si>
  <si>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</si>
  <si>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</si>
  <si>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</si>
  <si>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</si>
  <si>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</si>
  <si>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</si>
  <si>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</si>
  <si>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</si>
  <si>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</si>
  <si>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</si>
  <si>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</si>
  <si>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</si>
  <si>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</si>
  <si>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</si>
  <si>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</si>
  <si>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</si>
  <si>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</si>
  <si>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</si>
  <si>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</si>
  <si>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</si>
  <si>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</si>
  <si>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</si>
  <si>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</si>
  <si>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</si>
  <si>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</si>
  <si>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</si>
  <si>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</si>
  <si>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</si>
  <si>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</si>
  <si>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</si>
  <si>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</si>
  <si>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</si>
  <si>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</si>
  <si>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</si>
  <si>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</si>
  <si>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</si>
  <si>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</si>
  <si>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</si>
  <si>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</si>
  <si>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</si>
  <si>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</si>
  <si>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</si>
  <si>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</si>
  <si>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</si>
  <si>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</si>
  <si>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</si>
  <si>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</si>
  <si>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</si>
  <si>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</si>
  <si>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</si>
  <si>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</si>
  <si>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</si>
  <si>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</si>
  <si>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</si>
  <si>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</si>
  <si>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</si>
  <si>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</si>
  <si>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</si>
  <si>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</si>
  <si>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</si>
  <si>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</si>
  <si>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</si>
  <si>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</si>
  <si>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</si>
  <si>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</si>
  <si>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IERMT0015</t>
  </si>
  <si>
    <t>77-10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</si>
</sst>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opLeftCell="A18" zoomScale="130" zoomScaleNormal="130" workbookViewId="0">
      <selection activeCell="B24" sqref="B24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125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124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19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23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1012552.4475524474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8996.6462135536403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42.5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4.2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4.2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44.27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22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0.32800000000000001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62.9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9.8000000000000007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9.8000000000000007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45.7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5.5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5.5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29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96"/>
  <sheetViews>
    <sheetView tabSelected="1" zoomScale="140" zoomScaleNormal="140" workbookViewId="0">
      <selection activeCell="A13" sqref="A13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25</v>
      </c>
      <c r="C11" s="39">
        <v>82</v>
      </c>
      <c r="D11" s="48"/>
      <c r="E11" s="54">
        <v>1562500</v>
      </c>
      <c r="F11" s="54">
        <v>5125000</v>
      </c>
      <c r="G11" s="48">
        <f>E11/F11</f>
        <v>0.3048780487804878</v>
      </c>
      <c r="H11" s="54">
        <v>1.5999999999999999E-5</v>
      </c>
      <c r="I11" s="48">
        <v>75.921993162747341</v>
      </c>
      <c r="J11" s="48">
        <v>35.47277355351595</v>
      </c>
      <c r="K11" s="48">
        <v>8.4649249563025801</v>
      </c>
      <c r="L11" s="48">
        <v>8.4649249563025801</v>
      </c>
    </row>
    <row r="12" spans="1:12" ht="12.75" customHeight="1" x14ac:dyDescent="0.15">
      <c r="A12" s="42">
        <v>2</v>
      </c>
      <c r="B12" s="39">
        <v>9</v>
      </c>
      <c r="C12" s="39">
        <v>6</v>
      </c>
      <c r="D12" s="48">
        <v>1.5531921200924066</v>
      </c>
      <c r="E12" s="54">
        <v>750000</v>
      </c>
      <c r="F12" s="54">
        <v>500000</v>
      </c>
      <c r="G12" s="48">
        <f t="shared" ref="G12:G33" si="0">E12/F12</f>
        <v>1.5</v>
      </c>
      <c r="H12" s="54">
        <v>1.2E-5</v>
      </c>
      <c r="I12" s="48">
        <v>7.4070237231948628</v>
      </c>
      <c r="J12" s="48">
        <v>172.67399783207034</v>
      </c>
      <c r="K12" s="48">
        <v>91.781988120031841</v>
      </c>
      <c r="L12" s="48">
        <v>91.781988120031841</v>
      </c>
    </row>
    <row r="13" spans="1:12" ht="12.75" customHeight="1" x14ac:dyDescent="0.15">
      <c r="A13" s="42">
        <v>3</v>
      </c>
      <c r="B13" s="39">
        <v>29</v>
      </c>
      <c r="C13" s="39">
        <v>52</v>
      </c>
      <c r="D13" s="48">
        <v>1.7545803238034701</v>
      </c>
      <c r="E13" s="54">
        <v>604166.66666666663</v>
      </c>
      <c r="F13" s="54">
        <v>1083333.3333333333</v>
      </c>
      <c r="G13" s="48">
        <f t="shared" si="0"/>
        <v>0.55769230769230771</v>
      </c>
      <c r="H13" s="54">
        <v>4.8000000000000001E-5</v>
      </c>
      <c r="I13" s="48">
        <v>16.048551400255533</v>
      </c>
      <c r="J13" s="48">
        <v>64.7405882614419</v>
      </c>
      <c r="K13" s="48">
        <v>15.653766822899817</v>
      </c>
      <c r="L13" s="48">
        <v>15.653766822899817</v>
      </c>
    </row>
    <row r="14" spans="1:12" ht="12.75" customHeight="1" x14ac:dyDescent="0.15">
      <c r="A14" s="42">
        <v>4</v>
      </c>
      <c r="B14" s="39">
        <v>8</v>
      </c>
      <c r="C14" s="39">
        <v>12</v>
      </c>
      <c r="D14" s="48"/>
      <c r="E14" s="54">
        <v>500000</v>
      </c>
      <c r="F14" s="54">
        <v>750000</v>
      </c>
      <c r="G14" s="48">
        <f t="shared" si="0"/>
        <v>0.66666666666666663</v>
      </c>
      <c r="H14" s="54">
        <v>1.5999999999999999E-5</v>
      </c>
      <c r="I14" s="48">
        <v>11.110535584792293</v>
      </c>
      <c r="J14" s="48">
        <v>77.31547599054079</v>
      </c>
      <c r="K14" s="48">
        <v>35.689551910796268</v>
      </c>
      <c r="L14" s="48">
        <v>35.689551910796268</v>
      </c>
    </row>
    <row r="15" spans="1:12" ht="12.75" customHeight="1" x14ac:dyDescent="0.15">
      <c r="A15" s="42">
        <v>5</v>
      </c>
      <c r="B15" s="39">
        <v>33</v>
      </c>
      <c r="C15" s="39">
        <v>113</v>
      </c>
      <c r="D15" s="48">
        <v>2.1250711121072374</v>
      </c>
      <c r="E15" s="54">
        <v>825000.00000000012</v>
      </c>
      <c r="F15" s="54">
        <v>2825000.0000000005</v>
      </c>
      <c r="G15" s="48">
        <f t="shared" si="0"/>
        <v>0.29203539823008851</v>
      </c>
      <c r="H15" s="54">
        <v>3.9999999999999996E-5</v>
      </c>
      <c r="I15" s="48">
        <v>41.849684036050981</v>
      </c>
      <c r="J15" s="48">
        <v>33.982453005963905</v>
      </c>
      <c r="K15" s="48">
        <v>7.1203181434801364</v>
      </c>
      <c r="L15" s="48">
        <v>7.1203181434801364</v>
      </c>
    </row>
    <row r="16" spans="1:12" ht="12.75" customHeight="1" x14ac:dyDescent="0.15">
      <c r="A16" s="42">
        <v>6</v>
      </c>
      <c r="B16" s="39">
        <v>8</v>
      </c>
      <c r="C16" s="39">
        <v>9</v>
      </c>
      <c r="D16" s="48">
        <v>1.7263603622325601</v>
      </c>
      <c r="E16" s="54">
        <v>500000</v>
      </c>
      <c r="F16" s="54">
        <v>562500</v>
      </c>
      <c r="G16" s="48">
        <f t="shared" si="0"/>
        <v>0.88888888888888884</v>
      </c>
      <c r="H16" s="54">
        <v>1.5999999999999999E-5</v>
      </c>
      <c r="I16" s="48">
        <v>8.3329016885942195</v>
      </c>
      <c r="J16" s="48">
        <v>102.88263410927414</v>
      </c>
      <c r="K16" s="48">
        <v>50.492322483045953</v>
      </c>
      <c r="L16" s="48">
        <v>50.492322483045953</v>
      </c>
    </row>
    <row r="17" spans="1:12" ht="12.75" customHeight="1" x14ac:dyDescent="0.15">
      <c r="A17" s="42">
        <v>7</v>
      </c>
      <c r="B17" s="39">
        <v>1</v>
      </c>
      <c r="C17" s="39">
        <v>4</v>
      </c>
      <c r="D17" s="48"/>
      <c r="E17" s="54">
        <v>83333.333333333328</v>
      </c>
      <c r="F17" s="54">
        <v>333333.33333333331</v>
      </c>
      <c r="G17" s="48">
        <f t="shared" si="0"/>
        <v>0.25</v>
      </c>
      <c r="H17" s="54">
        <v>1.2E-5</v>
      </c>
      <c r="I17" s="48">
        <v>4.9380158154632419</v>
      </c>
      <c r="J17" s="48">
        <v>29.102060594848687</v>
      </c>
      <c r="K17" s="48">
        <v>32.59885373136305</v>
      </c>
      <c r="L17" s="48">
        <v>32.59885373136305</v>
      </c>
    </row>
    <row r="18" spans="1:12" ht="12.75" customHeight="1" x14ac:dyDescent="0.15">
      <c r="A18" s="42">
        <v>8</v>
      </c>
      <c r="B18" s="39">
        <v>5</v>
      </c>
      <c r="C18" s="39">
        <v>3</v>
      </c>
      <c r="D18" s="48">
        <v>1.7552537889396</v>
      </c>
      <c r="E18" s="54">
        <v>192307.69230769231</v>
      </c>
      <c r="F18" s="54">
        <v>115384.61538461539</v>
      </c>
      <c r="G18" s="48">
        <f t="shared" si="0"/>
        <v>1.6666666666666665</v>
      </c>
      <c r="H18" s="54">
        <v>2.5999999999999998E-5</v>
      </c>
      <c r="I18" s="48">
        <v>1.7093131668911221</v>
      </c>
      <c r="J18" s="48">
        <v>191.57761932317487</v>
      </c>
      <c r="K18" s="48">
        <v>140.53015030643147</v>
      </c>
      <c r="L18" s="48">
        <v>140.53015030643147</v>
      </c>
    </row>
    <row r="19" spans="1:12" ht="12.75" customHeight="1" x14ac:dyDescent="0.15">
      <c r="A19" s="42">
        <v>9</v>
      </c>
      <c r="B19" s="39">
        <v>9</v>
      </c>
      <c r="C19" s="39">
        <v>24</v>
      </c>
      <c r="D19" s="48">
        <v>2.1754644697793042</v>
      </c>
      <c r="E19" s="54">
        <v>160714.28571428571</v>
      </c>
      <c r="F19" s="54">
        <v>428571.42857142858</v>
      </c>
      <c r="G19" s="48">
        <f t="shared" si="0"/>
        <v>0.375</v>
      </c>
      <c r="H19" s="54">
        <v>5.5999999999999999E-5</v>
      </c>
      <c r="I19" s="48">
        <v>6.3488774770241685</v>
      </c>
      <c r="J19" s="48">
        <v>43.603979101252527</v>
      </c>
      <c r="K19" s="48">
        <v>17.306314368983614</v>
      </c>
      <c r="L19" s="48">
        <v>17.306314368983614</v>
      </c>
    </row>
    <row r="20" spans="1:12" ht="12.75" customHeight="1" x14ac:dyDescent="0.15">
      <c r="A20" s="42">
        <v>10</v>
      </c>
      <c r="B20" s="39">
        <v>10</v>
      </c>
      <c r="C20" s="39">
        <v>36</v>
      </c>
      <c r="D20" s="48">
        <v>1.4128024104979868</v>
      </c>
      <c r="E20" s="54">
        <v>400000.00000000006</v>
      </c>
      <c r="F20" s="54">
        <v>1440000.0000000002</v>
      </c>
      <c r="G20" s="48">
        <f t="shared" si="0"/>
        <v>0.27777777777777779</v>
      </c>
      <c r="H20" s="54">
        <v>2.4999999999999998E-5</v>
      </c>
      <c r="I20" s="48">
        <v>21.332228322801207</v>
      </c>
      <c r="J20" s="48">
        <v>32.327529200411298</v>
      </c>
      <c r="K20" s="48">
        <v>11.768628198421657</v>
      </c>
      <c r="L20" s="48">
        <v>11.768628198421657</v>
      </c>
    </row>
    <row r="21" spans="1:12" ht="12.75" customHeight="1" x14ac:dyDescent="0.15">
      <c r="A21" s="42">
        <v>11</v>
      </c>
      <c r="B21" s="39">
        <v>22</v>
      </c>
      <c r="C21" s="39">
        <v>65</v>
      </c>
      <c r="D21" s="48">
        <v>1.5283478630545215</v>
      </c>
      <c r="E21" s="54">
        <v>1833333.3333333333</v>
      </c>
      <c r="F21" s="54">
        <v>5416666.666666667</v>
      </c>
      <c r="G21" s="48">
        <f t="shared" si="0"/>
        <v>0.33846153846153842</v>
      </c>
      <c r="H21" s="54">
        <v>1.2E-5</v>
      </c>
      <c r="I21" s="48">
        <v>80.242757001277681</v>
      </c>
      <c r="J21" s="48">
        <v>39.368329502859545</v>
      </c>
      <c r="K21" s="48">
        <v>10.082373124774694</v>
      </c>
      <c r="L21" s="48">
        <v>10.082373124774694</v>
      </c>
    </row>
    <row r="22" spans="1:12" ht="12.75" customHeight="1" x14ac:dyDescent="0.15">
      <c r="A22" s="42">
        <v>12</v>
      </c>
      <c r="B22" s="39">
        <v>9</v>
      </c>
      <c r="C22" s="39">
        <v>32</v>
      </c>
      <c r="D22" s="48">
        <v>1.56552866610681</v>
      </c>
      <c r="E22" s="54">
        <v>642857.14285714284</v>
      </c>
      <c r="F22" s="54">
        <v>2285714.2857142859</v>
      </c>
      <c r="G22" s="48">
        <f t="shared" si="0"/>
        <v>0.28124999999999994</v>
      </c>
      <c r="H22" s="54">
        <v>1.4E-5</v>
      </c>
      <c r="I22" s="48">
        <v>33.860679877462232</v>
      </c>
      <c r="J22" s="48">
        <v>32.730599343097033</v>
      </c>
      <c r="K22" s="48">
        <v>12.553839746542897</v>
      </c>
      <c r="L22" s="48">
        <v>12.553839746542897</v>
      </c>
    </row>
    <row r="23" spans="1:12" ht="12.75" customHeight="1" x14ac:dyDescent="0.15">
      <c r="A23" s="42">
        <v>13</v>
      </c>
      <c r="B23" s="39">
        <v>4</v>
      </c>
      <c r="C23" s="39">
        <v>20</v>
      </c>
      <c r="D23" s="48">
        <v>1.582243923938</v>
      </c>
      <c r="E23" s="54">
        <v>333333.33333333331</v>
      </c>
      <c r="F23" s="54">
        <v>1666666.6666666665</v>
      </c>
      <c r="G23" s="48">
        <f t="shared" si="0"/>
        <v>0.2</v>
      </c>
      <c r="H23" s="54">
        <v>1.2E-5</v>
      </c>
      <c r="I23" s="48">
        <v>24.690079077316206</v>
      </c>
      <c r="J23" s="48">
        <v>23.292147696491703</v>
      </c>
      <c r="K23" s="48">
        <v>12.858234350106581</v>
      </c>
      <c r="L23" s="48">
        <v>12.858234350106581</v>
      </c>
    </row>
    <row r="24" spans="1:12" ht="12.75" customHeight="1" x14ac:dyDescent="0.15">
      <c r="A24" s="42">
        <v>14</v>
      </c>
      <c r="B24" s="40">
        <v>9</v>
      </c>
      <c r="C24" s="40">
        <v>25</v>
      </c>
      <c r="D24" s="41">
        <v>1.7026527365544275</v>
      </c>
      <c r="E24" s="55">
        <v>600000</v>
      </c>
      <c r="F24" s="55">
        <v>1666666.6666666667</v>
      </c>
      <c r="G24" s="48">
        <f t="shared" si="0"/>
        <v>0.36</v>
      </c>
      <c r="H24" s="54">
        <v>1.4999999999999999E-5</v>
      </c>
      <c r="I24" s="41">
        <v>24.690079077316209</v>
      </c>
      <c r="J24" s="41">
        <v>41.865470151168303</v>
      </c>
      <c r="K24" s="41">
        <v>16.528169114730503</v>
      </c>
      <c r="L24" s="41">
        <v>16.528169114730503</v>
      </c>
    </row>
    <row r="25" spans="1:12" ht="12.75" customHeight="1" x14ac:dyDescent="0.15">
      <c r="A25" s="42">
        <v>15</v>
      </c>
      <c r="B25" s="40">
        <v>19</v>
      </c>
      <c r="C25" s="40">
        <v>55</v>
      </c>
      <c r="D25" s="41">
        <v>1.814616751841635</v>
      </c>
      <c r="E25" s="55">
        <v>904761.90476190485</v>
      </c>
      <c r="F25" s="55">
        <v>2619047.6190476194</v>
      </c>
      <c r="G25" s="48">
        <f t="shared" si="0"/>
        <v>0.34545454545454546</v>
      </c>
      <c r="H25" s="54">
        <v>2.0999999999999999E-5</v>
      </c>
      <c r="I25" s="41">
        <v>38.798695692925477</v>
      </c>
      <c r="J25" s="41">
        <v>40.179195488640545</v>
      </c>
      <c r="K25" s="41">
        <v>11.044771854253884</v>
      </c>
      <c r="L25" s="41">
        <v>11.044771854253884</v>
      </c>
    </row>
    <row r="26" spans="1:12" ht="12.75" customHeight="1" x14ac:dyDescent="0.15">
      <c r="A26" s="42">
        <v>16</v>
      </c>
      <c r="B26" s="40">
        <v>5</v>
      </c>
      <c r="C26" s="40">
        <v>4</v>
      </c>
      <c r="D26" s="41">
        <v>1.8859868832005402</v>
      </c>
      <c r="E26" s="55">
        <v>833333.33333333326</v>
      </c>
      <c r="F26" s="55">
        <v>666666.66666666663</v>
      </c>
      <c r="G26" s="48">
        <f t="shared" si="0"/>
        <v>1.25</v>
      </c>
      <c r="H26" s="54">
        <v>6.0000000000000002E-6</v>
      </c>
      <c r="I26" s="41">
        <v>9.8760316309264837</v>
      </c>
      <c r="J26" s="41">
        <v>144.21423663600729</v>
      </c>
      <c r="K26" s="41">
        <v>97.251084266444693</v>
      </c>
      <c r="L26" s="41">
        <v>97.251084266444693</v>
      </c>
    </row>
    <row r="27" spans="1:12" ht="12.75" customHeight="1" x14ac:dyDescent="0.15">
      <c r="A27" s="42">
        <v>17</v>
      </c>
      <c r="B27" s="40">
        <v>15</v>
      </c>
      <c r="C27" s="40">
        <v>43</v>
      </c>
      <c r="D27" s="41">
        <v>1.3748082013484402</v>
      </c>
      <c r="E27" s="55">
        <v>681818.18181818188</v>
      </c>
      <c r="F27" s="55">
        <v>1954545.4545454546</v>
      </c>
      <c r="G27" s="48">
        <f t="shared" si="0"/>
        <v>0.34883720930232559</v>
      </c>
      <c r="H27" s="54">
        <v>2.1999999999999999E-5</v>
      </c>
      <c r="I27" s="41">
        <v>28.954729099761739</v>
      </c>
      <c r="J27" s="41">
        <v>40.571391745147054</v>
      </c>
      <c r="K27" s="41">
        <v>12.483363160971741</v>
      </c>
      <c r="L27" s="41">
        <v>12.483363160971741</v>
      </c>
    </row>
    <row r="28" spans="1:12" ht="12.75" customHeight="1" x14ac:dyDescent="0.15">
      <c r="A28" s="42">
        <f>A27+1</f>
        <v>18</v>
      </c>
      <c r="B28" s="40">
        <v>5</v>
      </c>
      <c r="C28" s="40">
        <v>8</v>
      </c>
      <c r="D28" s="41">
        <v>1.77706733898859</v>
      </c>
      <c r="E28" s="55">
        <v>416666.66666666663</v>
      </c>
      <c r="F28" s="55">
        <v>666666.66666666663</v>
      </c>
      <c r="G28" s="48">
        <f t="shared" si="0"/>
        <v>0.625</v>
      </c>
      <c r="H28" s="55">
        <v>1.2E-5</v>
      </c>
      <c r="I28" s="41">
        <v>9.8760316309264837</v>
      </c>
      <c r="J28" s="41">
        <v>72.510326214239072</v>
      </c>
      <c r="K28" s="41">
        <v>41.638225190238025</v>
      </c>
      <c r="L28" s="41">
        <v>41.638225190238025</v>
      </c>
    </row>
    <row r="29" spans="1:12" ht="12.75" customHeight="1" x14ac:dyDescent="0.15">
      <c r="A29" s="42">
        <f t="shared" ref="A29:A33" si="1">A28+1</f>
        <v>19</v>
      </c>
      <c r="B29" s="40">
        <v>6</v>
      </c>
      <c r="C29" s="40">
        <v>11</v>
      </c>
      <c r="D29" s="41">
        <v>1.6514604142338278</v>
      </c>
      <c r="E29" s="55">
        <v>750000</v>
      </c>
      <c r="F29" s="55">
        <v>1375000</v>
      </c>
      <c r="G29" s="48">
        <f t="shared" si="0"/>
        <v>0.54545454545454541</v>
      </c>
      <c r="H29" s="54">
        <v>7.9999999999999996E-6</v>
      </c>
      <c r="I29" s="41">
        <v>20.369315238785873</v>
      </c>
      <c r="J29" s="41">
        <v>63.326902118153285</v>
      </c>
      <c r="K29" s="41">
        <v>32.434607482996682</v>
      </c>
      <c r="L29" s="41">
        <v>32.434607482996682</v>
      </c>
    </row>
    <row r="30" spans="1:12" ht="12.75" customHeight="1" x14ac:dyDescent="0.15">
      <c r="A30" s="42">
        <f t="shared" si="1"/>
        <v>20</v>
      </c>
      <c r="B30" s="40">
        <v>5</v>
      </c>
      <c r="C30" s="40">
        <v>12</v>
      </c>
      <c r="D30" s="41">
        <v>1.6780441448828725</v>
      </c>
      <c r="E30" s="55">
        <v>454545.45454545453</v>
      </c>
      <c r="F30" s="55">
        <v>1090909.0909090908</v>
      </c>
      <c r="G30" s="48">
        <f t="shared" si="0"/>
        <v>0.41666666666666669</v>
      </c>
      <c r="H30" s="55">
        <v>1.1E-5</v>
      </c>
      <c r="I30" s="41">
        <v>16.160779032425154</v>
      </c>
      <c r="J30" s="41">
        <v>48.430712448762279</v>
      </c>
      <c r="K30" s="41">
        <v>25.994404081127225</v>
      </c>
      <c r="L30" s="41">
        <v>25.994404081127225</v>
      </c>
    </row>
    <row r="31" spans="1:12" ht="12.75" customHeight="1" x14ac:dyDescent="0.15">
      <c r="A31" s="42">
        <f t="shared" si="1"/>
        <v>21</v>
      </c>
      <c r="B31" s="40">
        <v>7</v>
      </c>
      <c r="C31" s="40">
        <v>66</v>
      </c>
      <c r="D31" s="41"/>
      <c r="E31" s="55">
        <v>333333.33333333337</v>
      </c>
      <c r="F31" s="55">
        <v>3142857.1428571432</v>
      </c>
      <c r="G31" s="48">
        <f t="shared" si="0"/>
        <v>0.10606060606060606</v>
      </c>
      <c r="H31" s="55">
        <v>2.0999999999999999E-5</v>
      </c>
      <c r="I31" s="41">
        <v>46.558434831510574</v>
      </c>
      <c r="J31" s="41">
        <v>12.362375287813707</v>
      </c>
      <c r="K31" s="41">
        <v>4.9873961923868926</v>
      </c>
      <c r="L31" s="41">
        <v>4.9873961923868926</v>
      </c>
    </row>
    <row r="32" spans="1:12" ht="12.75" customHeight="1" x14ac:dyDescent="0.15">
      <c r="A32" s="42">
        <f t="shared" si="1"/>
        <v>22</v>
      </c>
      <c r="B32" s="40">
        <v>21</v>
      </c>
      <c r="C32" s="40">
        <v>47</v>
      </c>
      <c r="D32" s="41">
        <v>3.0296231565800342</v>
      </c>
      <c r="E32" s="55">
        <v>583333.33333333337</v>
      </c>
      <c r="F32" s="55">
        <v>1305555.5555555555</v>
      </c>
      <c r="G32" s="48">
        <f t="shared" si="0"/>
        <v>0.44680851063829791</v>
      </c>
      <c r="H32" s="55">
        <v>3.6000000000000001E-5</v>
      </c>
      <c r="I32" s="41">
        <v>19.340561943897697</v>
      </c>
      <c r="J32" s="41">
        <v>51.920140808400653</v>
      </c>
      <c r="K32" s="41">
        <v>14.089940577661462</v>
      </c>
      <c r="L32" s="41">
        <v>14.089940577661462</v>
      </c>
    </row>
    <row r="33" spans="1:12" ht="12.75" customHeight="1" x14ac:dyDescent="0.15">
      <c r="A33" s="42">
        <f t="shared" si="1"/>
        <v>23</v>
      </c>
      <c r="B33" s="40">
        <v>15</v>
      </c>
      <c r="C33" s="40">
        <v>34</v>
      </c>
      <c r="D33" s="41">
        <v>1.7758730429215899</v>
      </c>
      <c r="E33" s="55">
        <v>833333.33333333326</v>
      </c>
      <c r="F33" s="55">
        <v>1888888.8888888888</v>
      </c>
      <c r="G33" s="48">
        <f t="shared" si="0"/>
        <v>0.44117647058823528</v>
      </c>
      <c r="H33" s="55">
        <v>1.8E-5</v>
      </c>
      <c r="I33" s="41">
        <v>27.982089620958369</v>
      </c>
      <c r="J33" s="41">
        <v>51.268280345659775</v>
      </c>
      <c r="K33" s="41">
        <v>16.279463472792553</v>
      </c>
      <c r="L33" s="41">
        <v>16.279463472792553</v>
      </c>
    </row>
    <row r="34" spans="1:12" ht="12.75" customHeight="1" x14ac:dyDescent="0.15">
      <c r="A34" s="40"/>
      <c r="B34" s="40"/>
      <c r="C34" s="40"/>
      <c r="D34" s="41"/>
      <c r="E34" s="55"/>
      <c r="F34" s="55"/>
      <c r="G34" s="41"/>
      <c r="H34" s="55"/>
      <c r="I34" s="41"/>
      <c r="J34" s="41"/>
      <c r="K34" s="41"/>
      <c r="L34" s="41"/>
    </row>
    <row r="35" spans="1:12" ht="12.75" customHeight="1" x14ac:dyDescent="0.15">
      <c r="A35" s="40"/>
      <c r="B35" s="40"/>
      <c r="C35" s="40"/>
      <c r="D35" s="41"/>
      <c r="E35" s="55"/>
      <c r="F35" s="55"/>
      <c r="G35" s="41"/>
      <c r="H35" s="55"/>
      <c r="I35" s="41"/>
      <c r="J35" s="41"/>
      <c r="K35" s="41"/>
      <c r="L35" s="41"/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40"/>
      <c r="B175" s="40"/>
      <c r="C175" s="40"/>
      <c r="D175" s="41"/>
      <c r="E175" s="55"/>
      <c r="F175" s="55"/>
      <c r="G175" s="41"/>
      <c r="H175" s="55"/>
      <c r="I175" s="41"/>
      <c r="J175" s="41"/>
      <c r="K175" s="41"/>
      <c r="L175" s="41"/>
    </row>
    <row r="176" spans="1:12" ht="12.75" customHeight="1" x14ac:dyDescent="0.15">
      <c r="A176" s="40"/>
      <c r="B176" s="40"/>
      <c r="C176" s="40"/>
      <c r="D176" s="41"/>
      <c r="E176" s="55"/>
      <c r="F176" s="55"/>
      <c r="G176" s="41"/>
      <c r="H176" s="55"/>
      <c r="I176" s="41"/>
      <c r="J176" s="41"/>
      <c r="K176" s="41"/>
      <c r="L176" s="41"/>
    </row>
    <row r="177" spans="1:12" ht="12.75" customHeight="1" x14ac:dyDescent="0.15">
      <c r="A177" s="40"/>
      <c r="B177" s="40"/>
      <c r="C177" s="40"/>
      <c r="D177" s="41"/>
      <c r="E177" s="55"/>
      <c r="F177" s="55"/>
      <c r="G177" s="41"/>
      <c r="H177" s="55"/>
      <c r="I177" s="41"/>
      <c r="J177" s="41"/>
      <c r="K177" s="41"/>
      <c r="L177" s="41"/>
    </row>
    <row r="178" spans="1:12" ht="12.75" customHeight="1" x14ac:dyDescent="0.15">
      <c r="A178" s="40"/>
      <c r="B178" s="40"/>
      <c r="C178" s="40"/>
      <c r="D178" s="41"/>
      <c r="E178" s="55"/>
      <c r="F178" s="55"/>
      <c r="G178" s="41"/>
      <c r="H178" s="55"/>
      <c r="I178" s="41"/>
      <c r="J178" s="41"/>
      <c r="K178" s="41"/>
      <c r="L178" s="41"/>
    </row>
    <row r="179" spans="1:12" ht="12.75" customHeight="1" x14ac:dyDescent="0.15">
      <c r="A179" s="2"/>
      <c r="B179" s="2"/>
      <c r="C179" s="2"/>
      <c r="D179" s="43"/>
      <c r="E179" s="50"/>
      <c r="F179" s="50"/>
      <c r="G179" s="43"/>
      <c r="H179" s="50"/>
      <c r="I179" s="43"/>
      <c r="J179" s="43"/>
      <c r="K179" s="43"/>
      <c r="L179" s="43"/>
    </row>
    <row r="180" spans="1:12" ht="12.75" customHeight="1" x14ac:dyDescent="0.15">
      <c r="A180" s="2"/>
      <c r="B180" s="2"/>
      <c r="C180" s="2"/>
      <c r="D180" s="43"/>
      <c r="E180" s="50"/>
      <c r="F180" s="50"/>
      <c r="G180" s="43"/>
      <c r="H180" s="50"/>
      <c r="I180" s="43"/>
      <c r="J180" s="43"/>
      <c r="K180" s="43"/>
      <c r="L180" s="43"/>
    </row>
    <row r="181" spans="1:12" ht="12.75" customHeight="1" x14ac:dyDescent="0.15">
      <c r="A181" s="2"/>
      <c r="B181" s="2"/>
      <c r="C181" s="2"/>
      <c r="D181" s="43"/>
      <c r="E181" s="50"/>
      <c r="F181" s="50"/>
      <c r="G181" s="43"/>
      <c r="H181" s="50"/>
      <c r="I181" s="43"/>
      <c r="J181" s="43"/>
      <c r="K181" s="43"/>
      <c r="L181" s="43"/>
    </row>
    <row r="182" spans="1:12" ht="12.75" customHeight="1" x14ac:dyDescent="0.15">
      <c r="A182" s="2"/>
      <c r="B182" s="2"/>
      <c r="C182" s="2"/>
      <c r="D182" s="43"/>
      <c r="E182" s="50"/>
      <c r="F182" s="50"/>
      <c r="G182" s="43"/>
      <c r="H182" s="50"/>
      <c r="I182" s="43"/>
      <c r="J182" s="43"/>
      <c r="K182" s="43"/>
      <c r="L182" s="43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  <row r="993" spans="1:12" ht="12.75" customHeight="1" x14ac:dyDescent="0.15">
      <c r="A993" s="2"/>
      <c r="B993" s="2"/>
      <c r="C993" s="2"/>
      <c r="D993" s="43"/>
      <c r="E993" s="50"/>
      <c r="F993" s="50"/>
      <c r="G993" s="43"/>
      <c r="H993" s="50"/>
      <c r="I993" s="43"/>
      <c r="J993" s="43"/>
      <c r="K993" s="43"/>
      <c r="L993" s="43"/>
    </row>
    <row r="994" spans="1:12" ht="12.75" customHeight="1" x14ac:dyDescent="0.15">
      <c r="A994" s="2"/>
      <c r="B994" s="2"/>
      <c r="C994" s="2"/>
      <c r="D994" s="43"/>
      <c r="E994" s="50"/>
      <c r="F994" s="50"/>
      <c r="G994" s="43"/>
      <c r="H994" s="50"/>
      <c r="I994" s="43"/>
      <c r="J994" s="43"/>
      <c r="K994" s="43"/>
      <c r="L994" s="43"/>
    </row>
    <row r="995" spans="1:12" ht="12.75" customHeight="1" x14ac:dyDescent="0.15">
      <c r="A995" s="2"/>
      <c r="B995" s="2"/>
      <c r="C995" s="2"/>
      <c r="D995" s="43"/>
      <c r="E995" s="50"/>
      <c r="F995" s="50"/>
      <c r="G995" s="43"/>
      <c r="H995" s="50"/>
      <c r="I995" s="43"/>
      <c r="J995" s="43"/>
      <c r="K995" s="43"/>
      <c r="L995" s="43"/>
    </row>
    <row r="996" spans="1:12" ht="12.75" customHeight="1" x14ac:dyDescent="0.15">
      <c r="A996" s="2"/>
      <c r="B996" s="2"/>
      <c r="C996" s="2"/>
      <c r="D996" s="43"/>
      <c r="E996" s="50"/>
      <c r="F996" s="50"/>
      <c r="G996" s="43"/>
      <c r="H996" s="50"/>
      <c r="I996" s="43"/>
      <c r="J996" s="43"/>
      <c r="K996" s="43"/>
      <c r="L996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selection activeCell="C32" sqref="C32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65"/>
      <c r="C9" s="65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7"/>
      <c r="C10" s="5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2021-05-21T14:01:49Z</dcterms:modified>
</cp:coreProperties>
</file>