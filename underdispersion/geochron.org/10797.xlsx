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580" yWindow="160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<sst xmlns="http://schemas.openxmlformats.org/spreadsheetml/2006/main" count="521" uniqueCount="246">
  <si>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</si>
  <si>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</si>
  <si>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</si>
  <si>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</si>
  <si>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</si>
  <si>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</si>
  <si>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</si>
  <si>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</si>
  <si>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</si>
  <si>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</si>
  <si>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</si>
  <si>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</si>
  <si>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</si>
  <si>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</si>
  <si>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</si>
  <si>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</si>
  <si>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</si>
  <si>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</si>
  <si>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</si>
  <si>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</si>
  <si>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</si>
  <si>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</si>
  <si>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</si>
  <si>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</si>
  <si>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</si>
  <si>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</si>
  <si>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</si>
  <si>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</si>
  <si>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</si>
  <si>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</si>
  <si>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</si>
  <si>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</si>
  <si>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</si>
  <si>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</si>
  <si>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</si>
  <si>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</si>
  <si>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</si>
  <si>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</si>
  <si>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</si>
  <si>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</si>
  <si>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</si>
  <si>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</si>
  <si>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</si>
  <si>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</si>
  <si>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</si>
  <si>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</si>
  <si>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</si>
  <si>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</si>
  <si>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</si>
  <si>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</si>
  <si>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</si>
  <si>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</si>
  <si>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</si>
  <si>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</si>
  <si>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</si>
  <si>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</si>
  <si>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</si>
  <si>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</si>
  <si>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</si>
  <si>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</si>
  <si>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</si>
  <si>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</si>
  <si>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</si>
  <si>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</si>
  <si>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</si>
  <si>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</si>
  <si>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</si>
  <si>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</si>
  <si>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</si>
  <si>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</si>
  <si>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</si>
  <si>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</si>
  <si>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</si>
  <si>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</si>
  <si>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</si>
  <si>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</si>
  <si>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</si>
  <si>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</si>
  <si>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</si>
  <si>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</si>
  <si>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</si>
  <si>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</si>
  <si>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</si>
  <si>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</si>
  <si>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</si>
  <si>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</si>
  <si>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</si>
  <si>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</si>
  <si>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</si>
  <si>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</si>
  <si>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</si>
  <si>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</si>
  <si>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</si>
  <si>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</si>
  <si>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</si>
  <si>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</si>
  <si>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</si>
  <si>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</si>
  <si>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</si>
  <si>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</si>
  <si>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</si>
  <si>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</si>
  <si>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</si>
  <si>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</si>
  <si>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</si>
  <si>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</si>
  <si>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</si>
  <si>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</si>
  <si>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</si>
  <si>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</si>
  <si>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</si>
  <si>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</si>
  <si>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</si>
  <si>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</si>
  <si>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</si>
  <si>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</si>
  <si>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</si>
  <si>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</si>
  <si>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</si>
  <si>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</si>
  <si>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</si>
  <si>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</si>
  <si>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</si>
  <si>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</si>
  <si>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</si>
  <si>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</si>
  <si>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</si>
  <si>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</si>
  <si>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</si>
  <si>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</si>
  <si>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</si>
  <si>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</si>
  <si>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</si>
  <si>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</si>
  <si>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</si>
  <si>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</si>
  <si>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</si>
  <si>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</si>
  <si>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</si>
  <si>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</si>
  <si>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</si>
  <si>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</si>
  <si>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</si>
  <si>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</si>
  <si>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</si>
  <si>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</si>
  <si>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</si>
  <si>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</si>
  <si>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</si>
  <si>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</si>
  <si>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</si>
  <si>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</si>
  <si>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</si>
  <si>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</si>
  <si>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</si>
  <si>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</si>
  <si>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</si>
  <si>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</si>
  <si>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</si>
  <si>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</si>
  <si>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</si>
  <si>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</si>
  <si>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</si>
  <si>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</si>
  <si>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</si>
  <si>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</si>
  <si>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</si>
  <si>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</si>
  <si>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</si>
  <si>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</si>
  <si>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</si>
  <si>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</si>
  <si>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</si>
  <si>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</si>
  <si>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</si>
  <si>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</si>
  <si>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</si>
  <si>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</si>
  <si>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</si>
  <si>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</si>
  <si>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</si>
  <si>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</si>
  <si>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</si>
  <si>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</si>
  <si>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</si>
  <si>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</si>
  <si>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</si>
  <si>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</si>
  <si>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</si>
  <si>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</si>
  <si>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</si>
  <si>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</si>
  <si>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</si>
  <si>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</si>
  <si>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</si>
  <si>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</si>
  <si>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</si>
  <si>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</si>
  <si>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</si>
  <si>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</si>
  <si>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</si>
  <si>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</si>
  <si>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</si>
  <si>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</si>
  <si>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</si>
  <si>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</si>
  <si>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</si>
  <si>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</si>
  <si>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</si>
  <si>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</si>
  <si>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</si>
  <si>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</si>
  <si>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</si>
  <si>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</si>
  <si>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</si>
  <si>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</si>
  <si>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</si>
  <si>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</si>
  <si>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</si>
  <si>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</si>
  <si>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</si>
  <si>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</si>
  <si>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</si>
  <si>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1.0</t>
  </si>
  <si>
    <t>TU11z</t>
  </si>
  <si>
    <t>119.6</t>
  </si>
  <si>
    <t>5.4</t>
  </si>
  <si>
    <t>1.57</t>
  </si>
  <si>
    <t>4051</t>
  </si>
  <si>
    <t>pooled</t>
  </si>
  <si>
    <t>Falkowski, S. and E. Enkelmann, 2016, Upper-crustal cooling of the Wrangellia composite terrane in the northern St. Elias Mountains, western Canada, Lithosphere, 8, 335–358, doi: 10.1130/L508.1.</t>
  </si>
  <si>
    <t>Zeiss AxioImager M2m, AutoScan system</t>
  </si>
  <si>
    <t>KLB44</t>
  </si>
  <si>
    <t>May 09, 2014</t>
  </si>
  <si>
    <t>granodiorite</t>
  </si>
  <si>
    <t>37</t>
  </si>
  <si>
    <t>27h, 228°C</t>
  </si>
  <si>
    <t>9.4</t>
  </si>
  <si>
    <t>1.2</t>
  </si>
  <si>
    <t>1.0651</t>
  </si>
  <si>
    <t>36</t>
  </si>
  <si>
    <t>36.4</t>
  </si>
  <si>
    <t>9.5</t>
  </si>
  <si>
    <t>1.1</t>
  </si>
  <si>
    <t>University of Cincinnati, USA</t>
  </si>
  <si>
    <t>EVA00002B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</si>
</sst>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232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244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233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234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629701.98590317415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237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238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223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239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240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241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242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238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243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242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230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F32" sqref="F32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7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69"/>
      <c r="R10" s="69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57</v>
      </c>
      <c r="C11" s="91">
        <v>166</v>
      </c>
      <c r="D11" s="97">
        <v>24</v>
      </c>
      <c r="E11" s="31"/>
      <c r="F11" s="31"/>
      <c r="G11" s="31"/>
      <c r="H11" s="93">
        <v>2375000</v>
      </c>
      <c r="I11" s="93">
        <v>6916666.666666666</v>
      </c>
      <c r="J11" s="93"/>
      <c r="K11" s="31"/>
      <c r="L11" s="31"/>
      <c r="M11" s="31"/>
      <c r="N11" s="31"/>
      <c r="O11" s="99">
        <v>549.20159230133061</v>
      </c>
      <c r="P11" s="99"/>
      <c r="Q11" s="99">
        <v>12.917185520983965</v>
      </c>
      <c r="R11" s="99">
        <v>2.0769523409015349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20</v>
      </c>
      <c r="C12" s="91">
        <v>96</v>
      </c>
      <c r="D12" s="97">
        <v>28</v>
      </c>
      <c r="E12" s="31"/>
      <c r="F12" s="31"/>
      <c r="G12" s="31"/>
      <c r="H12" s="93">
        <v>714285.71428571432</v>
      </c>
      <c r="I12" s="93">
        <v>3428571.4285714286</v>
      </c>
      <c r="J12" s="93"/>
      <c r="K12" s="31"/>
      <c r="L12" s="31"/>
      <c r="M12" s="31"/>
      <c r="N12" s="31"/>
      <c r="O12" s="99">
        <v>272.23762234558217</v>
      </c>
      <c r="P12" s="99"/>
      <c r="Q12" s="99">
        <v>7.8402683246344518</v>
      </c>
      <c r="R12" s="99">
        <v>1.9632333557100843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26</v>
      </c>
      <c r="C13" s="91">
        <v>95</v>
      </c>
      <c r="D13" s="97">
        <v>15</v>
      </c>
      <c r="E13" s="31"/>
      <c r="F13" s="31"/>
      <c r="G13" s="31"/>
      <c r="H13" s="93">
        <v>1733333.3333333335</v>
      </c>
      <c r="I13" s="93">
        <v>6333333.333333334</v>
      </c>
      <c r="J13" s="93"/>
      <c r="K13" s="31"/>
      <c r="L13" s="31"/>
      <c r="M13" s="31"/>
      <c r="N13" s="31"/>
      <c r="O13" s="99">
        <v>502.88338572170039</v>
      </c>
      <c r="P13" s="99"/>
      <c r="Q13" s="99">
        <v>10.297673611216362</v>
      </c>
      <c r="R13" s="99">
        <v>2.3317643048211796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28</v>
      </c>
      <c r="C14" s="91">
        <v>87</v>
      </c>
      <c r="D14" s="97">
        <v>20</v>
      </c>
      <c r="E14" s="31"/>
      <c r="F14" s="31"/>
      <c r="G14" s="31"/>
      <c r="H14" s="93">
        <v>1400000.0000000002</v>
      </c>
      <c r="I14" s="93">
        <v>4350000</v>
      </c>
      <c r="J14" s="93"/>
      <c r="K14" s="31"/>
      <c r="L14" s="31"/>
      <c r="M14" s="31"/>
      <c r="N14" s="31"/>
      <c r="O14" s="99">
        <v>345.40148335095739</v>
      </c>
      <c r="P14" s="99"/>
      <c r="Q14" s="99">
        <v>12.107853984885791</v>
      </c>
      <c r="R14" s="99">
        <v>2.6936630659173559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39</v>
      </c>
      <c r="C15" s="91">
        <v>153</v>
      </c>
      <c r="D15" s="97">
        <v>24</v>
      </c>
      <c r="E15" s="31"/>
      <c r="F15" s="31"/>
      <c r="G15" s="31"/>
      <c r="H15" s="93">
        <v>1625000</v>
      </c>
      <c r="I15" s="93">
        <v>6375000</v>
      </c>
      <c r="J15" s="93"/>
      <c r="K15" s="31"/>
      <c r="L15" s="31"/>
      <c r="M15" s="31"/>
      <c r="N15" s="31"/>
      <c r="O15" s="99">
        <v>506.19182904881683</v>
      </c>
      <c r="P15" s="99"/>
      <c r="Q15" s="99">
        <v>9.5914959103461115</v>
      </c>
      <c r="R15" s="99">
        <v>1.7805700553045034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51</v>
      </c>
      <c r="C16" s="91">
        <v>188</v>
      </c>
      <c r="D16" s="97">
        <v>24</v>
      </c>
      <c r="E16" s="31"/>
      <c r="F16" s="31"/>
      <c r="G16" s="31"/>
      <c r="H16" s="93">
        <v>2125000</v>
      </c>
      <c r="I16" s="93">
        <v>7833333.333333333</v>
      </c>
      <c r="J16" s="93"/>
      <c r="K16" s="31"/>
      <c r="L16" s="31"/>
      <c r="M16" s="31"/>
      <c r="N16" s="31"/>
      <c r="O16" s="99">
        <v>621.98734549789253</v>
      </c>
      <c r="P16" s="99"/>
      <c r="Q16" s="99">
        <v>10.207156089519609</v>
      </c>
      <c r="R16" s="99">
        <v>1.6837913644018749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48</v>
      </c>
      <c r="C17" s="91">
        <v>197</v>
      </c>
      <c r="D17" s="97">
        <v>15</v>
      </c>
      <c r="E17" s="31"/>
      <c r="F17" s="31"/>
      <c r="G17" s="31"/>
      <c r="H17" s="93">
        <v>3200000.0000000005</v>
      </c>
      <c r="I17" s="93">
        <v>13133333.333333334</v>
      </c>
      <c r="J17" s="93"/>
      <c r="K17" s="31"/>
      <c r="L17" s="31"/>
      <c r="M17" s="31"/>
      <c r="N17" s="31"/>
      <c r="O17" s="99">
        <v>1042.821336707105</v>
      </c>
      <c r="P17" s="99"/>
      <c r="Q17" s="99">
        <v>9.1685873683950962</v>
      </c>
      <c r="R17" s="99">
        <v>1.5395282920762083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10</v>
      </c>
      <c r="C18" s="91">
        <v>34</v>
      </c>
      <c r="D18" s="97">
        <v>15</v>
      </c>
      <c r="E18" s="31"/>
      <c r="F18" s="31"/>
      <c r="G18" s="31"/>
      <c r="H18" s="93">
        <v>666666.66666666674</v>
      </c>
      <c r="I18" s="93">
        <v>2266666.666666667</v>
      </c>
      <c r="J18" s="93"/>
      <c r="K18" s="31"/>
      <c r="L18" s="31"/>
      <c r="M18" s="31"/>
      <c r="N18" s="31"/>
      <c r="O18" s="99">
        <v>179.97931699513489</v>
      </c>
      <c r="P18" s="99"/>
      <c r="Q18" s="99">
        <v>11.065845033640731</v>
      </c>
      <c r="R18" s="99">
        <v>4.0158069786030133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24</v>
      </c>
      <c r="C19" s="91">
        <v>95</v>
      </c>
      <c r="D19" s="97">
        <v>9</v>
      </c>
      <c r="E19" s="31"/>
      <c r="F19" s="31"/>
      <c r="G19" s="31"/>
      <c r="H19" s="93">
        <v>2666666.6666666665</v>
      </c>
      <c r="I19" s="93">
        <v>10555555.555555556</v>
      </c>
      <c r="J19" s="93"/>
      <c r="K19" s="31"/>
      <c r="L19" s="31"/>
      <c r="M19" s="31"/>
      <c r="N19" s="31"/>
      <c r="O19" s="99">
        <v>838.13897620283399</v>
      </c>
      <c r="P19" s="99"/>
      <c r="Q19" s="99">
        <v>9.5061285305814369</v>
      </c>
      <c r="R19" s="99">
        <v>2.2187882892727258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17</v>
      </c>
      <c r="C20" s="91">
        <v>53</v>
      </c>
      <c r="D20" s="97">
        <v>10</v>
      </c>
      <c r="E20" s="31"/>
      <c r="F20" s="31"/>
      <c r="G20" s="31"/>
      <c r="H20" s="93">
        <v>1700000.0000000002</v>
      </c>
      <c r="I20" s="93">
        <v>5300000</v>
      </c>
      <c r="J20" s="93"/>
      <c r="K20" s="31"/>
      <c r="L20" s="31"/>
      <c r="M20" s="31"/>
      <c r="N20" s="31"/>
      <c r="O20" s="99">
        <v>420.83399120921246</v>
      </c>
      <c r="P20" s="99"/>
      <c r="Q20" s="99">
        <v>12.06709748053485</v>
      </c>
      <c r="R20" s="99">
        <v>3.412597232770771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33</v>
      </c>
      <c r="C21" s="91">
        <v>142</v>
      </c>
      <c r="D21" s="97">
        <v>20</v>
      </c>
      <c r="E21" s="31"/>
      <c r="F21" s="31"/>
      <c r="G21" s="31"/>
      <c r="H21" s="93">
        <v>1650000.0000000002</v>
      </c>
      <c r="I21" s="93">
        <v>7100000.0000000009</v>
      </c>
      <c r="J21" s="93"/>
      <c r="K21" s="31"/>
      <c r="L21" s="31"/>
      <c r="M21" s="31"/>
      <c r="N21" s="31"/>
      <c r="O21" s="99">
        <v>563.75874294064317</v>
      </c>
      <c r="P21" s="99"/>
      <c r="Q21" s="99">
        <v>8.7451502712454534</v>
      </c>
      <c r="R21" s="99">
        <v>1.7409374624003304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35</v>
      </c>
      <c r="C22" s="91">
        <v>132</v>
      </c>
      <c r="D22" s="97">
        <v>18</v>
      </c>
      <c r="E22" s="31"/>
      <c r="F22" s="31"/>
      <c r="G22" s="31"/>
      <c r="H22" s="93">
        <v>1944444.4444444445</v>
      </c>
      <c r="I22" s="93">
        <v>7333333.333333333</v>
      </c>
      <c r="J22" s="93"/>
      <c r="K22" s="31"/>
      <c r="L22" s="31"/>
      <c r="M22" s="31"/>
      <c r="N22" s="31"/>
      <c r="O22" s="99">
        <v>582.28602557249508</v>
      </c>
      <c r="P22" s="99"/>
      <c r="Q22" s="99">
        <v>9.9768697027192434</v>
      </c>
      <c r="R22" s="99">
        <v>1.9558890698021678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17</v>
      </c>
      <c r="C23" s="91">
        <v>100</v>
      </c>
      <c r="D23" s="97">
        <v>12</v>
      </c>
      <c r="E23" s="31"/>
      <c r="F23" s="31"/>
      <c r="G23" s="31"/>
      <c r="H23" s="93">
        <v>1416666.6666666667</v>
      </c>
      <c r="I23" s="93">
        <v>8333333.333333333</v>
      </c>
      <c r="J23" s="93"/>
      <c r="K23" s="31"/>
      <c r="L23" s="31"/>
      <c r="M23" s="31"/>
      <c r="N23" s="31"/>
      <c r="O23" s="99">
        <v>661.68866542328988</v>
      </c>
      <c r="P23" s="99"/>
      <c r="Q23" s="99">
        <v>6.3983745035367257</v>
      </c>
      <c r="R23" s="99">
        <v>1.7062072704266042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10</v>
      </c>
      <c r="C24" s="92">
        <v>50</v>
      </c>
      <c r="D24" s="97">
        <v>12</v>
      </c>
      <c r="E24" s="35"/>
      <c r="F24" s="35"/>
      <c r="G24" s="36"/>
      <c r="H24" s="94">
        <v>833333.33333333326</v>
      </c>
      <c r="I24" s="94">
        <v>4166666.6666666665</v>
      </c>
      <c r="J24" s="93"/>
      <c r="K24" s="39"/>
      <c r="L24" s="40"/>
      <c r="M24" s="38"/>
      <c r="N24" s="38"/>
      <c r="O24" s="41">
        <v>330.84433271164494</v>
      </c>
      <c r="P24" s="100"/>
      <c r="Q24" s="41">
        <v>7.5268405755726491</v>
      </c>
      <c r="R24" s="41">
        <v>2.6320858940660923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29</v>
      </c>
      <c r="C25" s="92">
        <v>91</v>
      </c>
      <c r="D25" s="97">
        <v>18</v>
      </c>
      <c r="E25" s="35"/>
      <c r="F25" s="35"/>
      <c r="G25" s="36"/>
      <c r="H25" s="94">
        <v>1611111.111111111</v>
      </c>
      <c r="I25" s="94">
        <v>5055555.555555555</v>
      </c>
      <c r="J25" s="93"/>
      <c r="K25" s="39"/>
      <c r="L25" s="40"/>
      <c r="M25" s="38"/>
      <c r="N25" s="38"/>
      <c r="O25" s="41">
        <v>401.42445702346254</v>
      </c>
      <c r="P25" s="100"/>
      <c r="Q25" s="41">
        <v>11.989166743941274</v>
      </c>
      <c r="R25" s="41">
        <v>2.6200427801032635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16</v>
      </c>
      <c r="C26" s="92">
        <v>52</v>
      </c>
      <c r="D26" s="97">
        <v>11</v>
      </c>
      <c r="E26" s="35"/>
      <c r="F26" s="35"/>
      <c r="G26" s="36"/>
      <c r="H26" s="94">
        <v>1454545.4545454546</v>
      </c>
      <c r="I26" s="94">
        <v>4727272.7272727275</v>
      </c>
      <c r="J26" s="93"/>
      <c r="K26" s="39"/>
      <c r="L26" s="40"/>
      <c r="M26" s="38"/>
      <c r="N26" s="38"/>
      <c r="O26" s="41">
        <v>375.35793384012089</v>
      </c>
      <c r="P26" s="100"/>
      <c r="Q26" s="41">
        <v>11.576118113348107</v>
      </c>
      <c r="R26" s="41">
        <v>3.3554010772894141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18</v>
      </c>
      <c r="C27" s="92">
        <v>67</v>
      </c>
      <c r="D27" s="97">
        <v>14</v>
      </c>
      <c r="E27" s="35"/>
      <c r="F27" s="35"/>
      <c r="G27" s="36"/>
      <c r="H27" s="94">
        <v>1285714.2857142857</v>
      </c>
      <c r="I27" s="94">
        <v>4785714.2857142854</v>
      </c>
      <c r="J27" s="93"/>
      <c r="K27" s="39"/>
      <c r="L27" s="40"/>
      <c r="M27" s="38"/>
      <c r="N27" s="38"/>
      <c r="O27" s="41">
        <v>379.99834785737505</v>
      </c>
      <c r="P27" s="100"/>
      <c r="Q27" s="41">
        <v>10.108656752426405</v>
      </c>
      <c r="R27" s="41">
        <v>2.7268342637499674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19</v>
      </c>
      <c r="C28" s="92">
        <v>103</v>
      </c>
      <c r="D28" s="97">
        <v>21</v>
      </c>
      <c r="E28" s="35"/>
      <c r="F28" s="35"/>
      <c r="G28" s="36"/>
      <c r="H28" s="94">
        <v>904761.90476190485</v>
      </c>
      <c r="I28" s="94">
        <v>4904761.9047619049</v>
      </c>
      <c r="J28" s="93"/>
      <c r="K28" s="39"/>
      <c r="L28" s="40"/>
      <c r="M28" s="38"/>
      <c r="N28" s="38"/>
      <c r="O28" s="41">
        <v>389.45104307770782</v>
      </c>
      <c r="P28" s="100"/>
      <c r="Q28" s="41">
        <v>6.9425462313691657</v>
      </c>
      <c r="R28" s="41">
        <v>1.7649058199589103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32</v>
      </c>
      <c r="C29" s="92">
        <v>94</v>
      </c>
      <c r="D29" s="97">
        <v>10</v>
      </c>
      <c r="E29" s="35"/>
      <c r="F29" s="35"/>
      <c r="G29" s="36"/>
      <c r="H29" s="94">
        <v>3200000.0000000005</v>
      </c>
      <c r="I29" s="94">
        <v>9400000</v>
      </c>
      <c r="J29" s="93"/>
      <c r="K29" s="39"/>
      <c r="L29" s="40"/>
      <c r="M29" s="38"/>
      <c r="N29" s="38"/>
      <c r="O29" s="41">
        <v>746.38481459747106</v>
      </c>
      <c r="P29" s="100"/>
      <c r="Q29" s="41">
        <v>12.80639776173185</v>
      </c>
      <c r="R29" s="41">
        <v>2.6915903630980798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23</v>
      </c>
      <c r="C30" s="92">
        <v>98</v>
      </c>
      <c r="D30" s="97">
        <v>10</v>
      </c>
      <c r="E30" s="35"/>
      <c r="F30" s="35"/>
      <c r="G30" s="36"/>
      <c r="H30" s="94">
        <v>2300000</v>
      </c>
      <c r="I30" s="94">
        <v>9800000</v>
      </c>
      <c r="J30" s="93"/>
      <c r="K30" s="39"/>
      <c r="L30" s="40"/>
      <c r="M30" s="38"/>
      <c r="N30" s="38"/>
      <c r="O30" s="41">
        <v>778.14587053778905</v>
      </c>
      <c r="P30" s="100"/>
      <c r="Q30" s="41">
        <v>8.8316231321473513</v>
      </c>
      <c r="R30" s="41">
        <v>2.0893418429156911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>
        <v>21</v>
      </c>
      <c r="B31" s="92">
        <v>15</v>
      </c>
      <c r="C31" s="92">
        <v>50</v>
      </c>
      <c r="D31" s="97">
        <v>12</v>
      </c>
      <c r="E31" s="35"/>
      <c r="F31" s="35"/>
      <c r="G31" s="36"/>
      <c r="H31" s="94">
        <v>1250000</v>
      </c>
      <c r="I31" s="94">
        <v>4166666.6666666665</v>
      </c>
      <c r="J31" s="93"/>
      <c r="K31" s="39"/>
      <c r="L31" s="40"/>
      <c r="M31" s="38"/>
      <c r="N31" s="38"/>
      <c r="O31" s="41">
        <v>330.84433271164494</v>
      </c>
      <c r="P31" s="100"/>
      <c r="Q31" s="41">
        <v>11.286968326545285</v>
      </c>
      <c r="R31" s="41">
        <v>3.3663198441262838</v>
      </c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>
        <v>22</v>
      </c>
      <c r="B32" s="92">
        <v>20</v>
      </c>
      <c r="C32" s="92">
        <v>88</v>
      </c>
      <c r="D32" s="97">
        <v>7</v>
      </c>
      <c r="E32" s="34"/>
      <c r="F32" s="34"/>
      <c r="G32" s="34"/>
      <c r="H32" s="94">
        <v>2857142.8571428573</v>
      </c>
      <c r="I32" s="94">
        <v>12571428.571428571</v>
      </c>
      <c r="J32" s="93"/>
      <c r="K32" s="37"/>
      <c r="L32" s="43"/>
      <c r="M32" s="43"/>
      <c r="N32" s="43"/>
      <c r="O32" s="41">
        <v>998.2046152671345</v>
      </c>
      <c r="P32" s="100"/>
      <c r="Q32" s="41">
        <v>8.5525474581871137</v>
      </c>
      <c r="R32" s="41">
        <v>2.1577020711201245</v>
      </c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>
        <v>23</v>
      </c>
      <c r="B33" s="98">
        <v>52</v>
      </c>
      <c r="C33" s="98">
        <v>235</v>
      </c>
      <c r="D33" s="97">
        <v>25</v>
      </c>
      <c r="E33" s="44"/>
      <c r="F33" s="44"/>
      <c r="G33" s="45"/>
      <c r="H33" s="95">
        <v>2080000.0000000002</v>
      </c>
      <c r="I33" s="95">
        <v>9400000</v>
      </c>
      <c r="J33" s="93"/>
      <c r="K33" s="39"/>
      <c r="L33" s="46"/>
      <c r="M33" s="46"/>
      <c r="N33" s="46"/>
      <c r="O33" s="47">
        <v>746.38481459747106</v>
      </c>
      <c r="P33" s="101"/>
      <c r="Q33" s="47">
        <v>8.3270514280186116</v>
      </c>
      <c r="R33" s="47">
        <v>1.3367837831183993</v>
      </c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>
        <v>24</v>
      </c>
      <c r="B34" s="92">
        <v>17</v>
      </c>
      <c r="C34" s="92">
        <v>47</v>
      </c>
      <c r="D34" s="97">
        <v>7</v>
      </c>
      <c r="E34" s="50"/>
      <c r="F34" s="50"/>
      <c r="G34" s="50"/>
      <c r="H34" s="96">
        <v>2428571.4285714286</v>
      </c>
      <c r="I34" s="96">
        <v>6714285.7142857146</v>
      </c>
      <c r="J34" s="93"/>
      <c r="K34" s="50"/>
      <c r="L34" s="50"/>
      <c r="M34" s="50"/>
      <c r="N34" s="50"/>
      <c r="O34" s="100">
        <v>533.13201042676508</v>
      </c>
      <c r="P34" s="100"/>
      <c r="Q34" s="100">
        <v>13.605953662886265</v>
      </c>
      <c r="R34" s="100">
        <v>3.9053008707254091</v>
      </c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>
        <v>25</v>
      </c>
      <c r="B35" s="92">
        <v>16</v>
      </c>
      <c r="C35" s="92">
        <v>71</v>
      </c>
      <c r="D35" s="97">
        <v>15</v>
      </c>
      <c r="E35" s="50"/>
      <c r="F35" s="50"/>
      <c r="G35" s="50"/>
      <c r="H35" s="96">
        <v>1066666.6666666667</v>
      </c>
      <c r="I35" s="96">
        <v>4733333.333333334</v>
      </c>
      <c r="J35" s="93"/>
      <c r="K35" s="50"/>
      <c r="L35" s="50"/>
      <c r="M35" s="50"/>
      <c r="N35" s="50"/>
      <c r="O35" s="100">
        <v>375.83916196042873</v>
      </c>
      <c r="P35" s="100"/>
      <c r="Q35" s="100">
        <v>8.4803199199226089</v>
      </c>
      <c r="R35" s="100">
        <v>2.3815952566067105</v>
      </c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>
        <v>26</v>
      </c>
      <c r="B36" s="92">
        <v>10</v>
      </c>
      <c r="C36" s="92">
        <v>47</v>
      </c>
      <c r="D36" s="97">
        <v>10</v>
      </c>
      <c r="E36" s="50"/>
      <c r="F36" s="50"/>
      <c r="G36" s="51"/>
      <c r="H36" s="96">
        <v>1000000.0000000001</v>
      </c>
      <c r="I36" s="96">
        <v>4700000</v>
      </c>
      <c r="J36" s="93"/>
      <c r="K36" s="50"/>
      <c r="L36" s="50"/>
      <c r="M36" s="50"/>
      <c r="N36" s="50"/>
      <c r="O36" s="100">
        <v>373.19240729873553</v>
      </c>
      <c r="P36" s="100"/>
      <c r="Q36" s="100">
        <v>8.0069790049014529</v>
      </c>
      <c r="R36" s="100">
        <v>2.8145643505114704</v>
      </c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>
        <v>27</v>
      </c>
      <c r="B37" s="92">
        <v>16</v>
      </c>
      <c r="C37" s="92">
        <v>48</v>
      </c>
      <c r="D37" s="97">
        <v>8</v>
      </c>
      <c r="E37" s="50"/>
      <c r="F37" s="50"/>
      <c r="G37" s="50"/>
      <c r="H37" s="96">
        <v>2000000</v>
      </c>
      <c r="I37" s="96">
        <v>6000000</v>
      </c>
      <c r="J37" s="93"/>
      <c r="K37" s="50"/>
      <c r="L37" s="50"/>
      <c r="M37" s="50"/>
      <c r="N37" s="50"/>
      <c r="O37" s="100">
        <v>476.41583910476879</v>
      </c>
      <c r="P37" s="100"/>
      <c r="Q37" s="100">
        <v>12.539857092313145</v>
      </c>
      <c r="R37" s="100">
        <v>3.6692477608896317</v>
      </c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>
        <v>28</v>
      </c>
      <c r="B38" s="92">
        <v>31</v>
      </c>
      <c r="C38" s="92">
        <v>152</v>
      </c>
      <c r="D38" s="97">
        <v>22</v>
      </c>
      <c r="E38" s="50"/>
      <c r="F38" s="50"/>
      <c r="G38" s="50"/>
      <c r="H38" s="96">
        <v>1409090.9090909092</v>
      </c>
      <c r="I38" s="96">
        <v>6909090.9090909092</v>
      </c>
      <c r="J38" s="93"/>
      <c r="K38" s="50"/>
      <c r="L38" s="50"/>
      <c r="M38" s="50"/>
      <c r="N38" s="50"/>
      <c r="O38" s="100">
        <v>548.60005715094587</v>
      </c>
      <c r="P38" s="100"/>
      <c r="Q38" s="100">
        <v>7.6753082507376504</v>
      </c>
      <c r="R38" s="100">
        <v>1.556450175753243</v>
      </c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>
        <v>29</v>
      </c>
      <c r="B39" s="92">
        <v>28</v>
      </c>
      <c r="C39" s="92">
        <v>88</v>
      </c>
      <c r="D39" s="97">
        <v>14</v>
      </c>
      <c r="E39" s="50"/>
      <c r="F39" s="50"/>
      <c r="G39" s="50"/>
      <c r="H39" s="96">
        <v>2000000</v>
      </c>
      <c r="I39" s="96">
        <v>6285714.2857142854</v>
      </c>
      <c r="J39" s="93"/>
      <c r="K39" s="50"/>
      <c r="L39" s="50"/>
      <c r="M39" s="50"/>
      <c r="N39" s="50"/>
      <c r="O39" s="100">
        <v>499.10230763356725</v>
      </c>
      <c r="P39" s="100"/>
      <c r="Q39" s="100">
        <v>11.970392380235943</v>
      </c>
      <c r="R39" s="100">
        <v>2.6595653456516986</v>
      </c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>
        <v>30</v>
      </c>
      <c r="B40" s="92">
        <v>44</v>
      </c>
      <c r="C40" s="92">
        <v>225</v>
      </c>
      <c r="D40" s="97">
        <v>22</v>
      </c>
      <c r="E40" s="50"/>
      <c r="F40" s="50"/>
      <c r="G40" s="50"/>
      <c r="H40" s="96">
        <v>2000000</v>
      </c>
      <c r="I40" s="96">
        <v>10227272.727272728</v>
      </c>
      <c r="J40" s="93"/>
      <c r="K40" s="50"/>
      <c r="L40" s="50"/>
      <c r="M40" s="50"/>
      <c r="N40" s="50"/>
      <c r="O40" s="100">
        <v>812.0724530194924</v>
      </c>
      <c r="P40" s="100"/>
      <c r="Q40" s="100">
        <v>7.3596728791407937</v>
      </c>
      <c r="R40" s="100">
        <v>1.263146671630853</v>
      </c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>
        <v>31</v>
      </c>
      <c r="B41" s="92">
        <v>28</v>
      </c>
      <c r="C41" s="92">
        <v>164</v>
      </c>
      <c r="D41" s="97">
        <v>24</v>
      </c>
      <c r="E41" s="50"/>
      <c r="F41" s="50"/>
      <c r="G41" s="50"/>
      <c r="H41" s="96">
        <v>1166666.6666666667</v>
      </c>
      <c r="I41" s="96">
        <v>6833333.333333333</v>
      </c>
      <c r="J41" s="93"/>
      <c r="K41" s="50"/>
      <c r="L41" s="50"/>
      <c r="M41" s="50"/>
      <c r="N41" s="50"/>
      <c r="O41" s="100">
        <v>542.58470564709773</v>
      </c>
      <c r="P41" s="100"/>
      <c r="Q41" s="100">
        <v>6.4259004163082158</v>
      </c>
      <c r="R41" s="100">
        <v>1.3493972722237972</v>
      </c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>
        <v>32</v>
      </c>
      <c r="B42" s="92">
        <v>60</v>
      </c>
      <c r="C42" s="92">
        <v>176</v>
      </c>
      <c r="D42" s="97">
        <v>30</v>
      </c>
      <c r="E42" s="50"/>
      <c r="F42" s="50"/>
      <c r="G42" s="50"/>
      <c r="H42" s="96">
        <v>2000000.0000000002</v>
      </c>
      <c r="I42" s="96">
        <v>5866666.666666667</v>
      </c>
      <c r="J42" s="93"/>
      <c r="K42" s="50"/>
      <c r="L42" s="50"/>
      <c r="M42" s="50"/>
      <c r="N42" s="50"/>
      <c r="O42" s="100">
        <v>465.82882045799619</v>
      </c>
      <c r="P42" s="100"/>
      <c r="Q42" s="100">
        <v>12.824570587942492</v>
      </c>
      <c r="R42" s="100">
        <v>2.0128409747969784</v>
      </c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>
        <v>33</v>
      </c>
      <c r="B43" s="92">
        <v>33</v>
      </c>
      <c r="C43" s="92">
        <v>131</v>
      </c>
      <c r="D43" s="97">
        <v>15</v>
      </c>
      <c r="E43" s="50"/>
      <c r="F43" s="50"/>
      <c r="G43" s="50"/>
      <c r="H43" s="96">
        <v>2200000</v>
      </c>
      <c r="I43" s="96">
        <v>8733333.333333334</v>
      </c>
      <c r="J43" s="93"/>
      <c r="K43" s="50"/>
      <c r="L43" s="50"/>
      <c r="M43" s="50"/>
      <c r="N43" s="50"/>
      <c r="O43" s="100">
        <v>693.44972136360798</v>
      </c>
      <c r="P43" s="100"/>
      <c r="Q43" s="100">
        <v>9.4789363242333753</v>
      </c>
      <c r="R43" s="100">
        <v>1.9010417023025994</v>
      </c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>
        <v>34</v>
      </c>
      <c r="B44" s="92">
        <v>45</v>
      </c>
      <c r="C44" s="92">
        <v>252</v>
      </c>
      <c r="D44" s="97">
        <v>35</v>
      </c>
      <c r="E44" s="50"/>
      <c r="F44" s="50"/>
      <c r="G44" s="50"/>
      <c r="H44" s="96">
        <v>1285714.2857142859</v>
      </c>
      <c r="I44" s="96">
        <v>7200000.0000000009</v>
      </c>
      <c r="J44" s="93"/>
      <c r="K44" s="50"/>
      <c r="L44" s="50"/>
      <c r="M44" s="50"/>
      <c r="N44" s="50"/>
      <c r="O44" s="100">
        <v>571.69900692572264</v>
      </c>
      <c r="P44" s="100"/>
      <c r="Q44" s="100">
        <v>6.720813535833484</v>
      </c>
      <c r="R44" s="100">
        <v>1.1341240213086812</v>
      </c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>
        <v>35</v>
      </c>
      <c r="B45" s="92">
        <v>15</v>
      </c>
      <c r="C45" s="92">
        <v>45</v>
      </c>
      <c r="D45" s="97">
        <v>6</v>
      </c>
      <c r="E45" s="50"/>
      <c r="F45" s="50"/>
      <c r="G45" s="50"/>
      <c r="H45" s="96">
        <v>2500000</v>
      </c>
      <c r="I45" s="96">
        <v>7500000</v>
      </c>
      <c r="J45" s="93"/>
      <c r="K45" s="50"/>
      <c r="L45" s="50"/>
      <c r="M45" s="50"/>
      <c r="N45" s="50"/>
      <c r="O45" s="100">
        <v>595.51979888096093</v>
      </c>
      <c r="P45" s="100"/>
      <c r="Q45" s="100">
        <v>12.539857092313145</v>
      </c>
      <c r="R45" s="100">
        <v>3.7864203700992665</v>
      </c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>
        <v>36</v>
      </c>
      <c r="B46" s="92">
        <v>19</v>
      </c>
      <c r="C46" s="92">
        <v>71</v>
      </c>
      <c r="D46" s="97">
        <v>18</v>
      </c>
      <c r="E46" s="50"/>
      <c r="F46" s="50"/>
      <c r="G46" s="50"/>
      <c r="H46" s="96">
        <v>1055555.5555555555</v>
      </c>
      <c r="I46" s="96">
        <v>3944444.4444444445</v>
      </c>
      <c r="J46" s="93"/>
      <c r="K46" s="50"/>
      <c r="L46" s="50"/>
      <c r="M46" s="50"/>
      <c r="N46" s="50"/>
      <c r="O46" s="100">
        <v>313.1993016336906</v>
      </c>
      <c r="P46" s="100"/>
      <c r="Q46" s="100">
        <v>10.069138883081004</v>
      </c>
      <c r="R46" s="100">
        <v>2.6449752757791418</v>
      </c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>
        <v>37</v>
      </c>
      <c r="B47" s="92">
        <v>24</v>
      </c>
      <c r="C47" s="92">
        <v>103</v>
      </c>
      <c r="D47" s="97">
        <v>21</v>
      </c>
      <c r="E47" s="50"/>
      <c r="F47" s="50"/>
      <c r="G47" s="50"/>
      <c r="H47" s="96">
        <v>1142857.142857143</v>
      </c>
      <c r="I47" s="96">
        <v>4904761.9047619049</v>
      </c>
      <c r="J47" s="93"/>
      <c r="K47" s="50"/>
      <c r="L47" s="50"/>
      <c r="M47" s="50"/>
      <c r="N47" s="50"/>
      <c r="O47" s="100">
        <v>389.45104307770782</v>
      </c>
      <c r="P47" s="100"/>
      <c r="Q47" s="100">
        <v>8.768290270611244</v>
      </c>
      <c r="R47" s="100">
        <v>2.0311574518897473</v>
      </c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50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50"/>
      <c r="K49" s="50"/>
      <c r="L49" s="50"/>
      <c r="M49" s="50"/>
      <c r="N49" s="50"/>
      <c r="O49" s="34"/>
      <c r="P49" s="92"/>
      <c r="Q49" s="35"/>
      <c r="R49" s="34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50"/>
      <c r="K50" s="50"/>
      <c r="L50" s="50"/>
      <c r="M50" s="50"/>
      <c r="N50" s="50"/>
      <c r="O50" s="34"/>
      <c r="P50" s="92"/>
      <c r="Q50" s="35"/>
      <c r="R50" s="34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50"/>
      <c r="K51" s="50"/>
      <c r="L51" s="50"/>
      <c r="M51" s="50"/>
      <c r="N51" s="50"/>
      <c r="O51" s="34"/>
      <c r="P51" s="92"/>
      <c r="Q51" s="35"/>
      <c r="R51" s="34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50"/>
      <c r="K52" s="50"/>
      <c r="L52" s="50"/>
      <c r="M52" s="50"/>
      <c r="N52" s="50"/>
      <c r="O52" s="34"/>
      <c r="P52" s="92"/>
      <c r="Q52" s="35"/>
      <c r="R52" s="34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50"/>
      <c r="K53" s="50"/>
      <c r="L53" s="50"/>
      <c r="M53" s="50"/>
      <c r="N53" s="50"/>
      <c r="O53" s="34"/>
      <c r="P53" s="92"/>
      <c r="Q53" s="35"/>
      <c r="R53" s="34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50"/>
      <c r="K54" s="50"/>
      <c r="L54" s="50"/>
      <c r="M54" s="50"/>
      <c r="N54" s="50"/>
      <c r="O54" s="34"/>
      <c r="P54" s="92"/>
      <c r="Q54" s="35"/>
      <c r="R54" s="34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50"/>
      <c r="K55" s="50"/>
      <c r="L55" s="50"/>
      <c r="M55" s="50"/>
      <c r="N55" s="50"/>
      <c r="O55" s="34"/>
      <c r="P55" s="92"/>
      <c r="Q55" s="35"/>
      <c r="R55" s="34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50"/>
      <c r="K56" s="50"/>
      <c r="L56" s="50"/>
      <c r="M56" s="50"/>
      <c r="N56" s="50"/>
      <c r="O56" s="34"/>
      <c r="P56" s="92"/>
      <c r="Q56" s="35"/>
      <c r="R56" s="34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50"/>
      <c r="K57" s="50"/>
      <c r="L57" s="50"/>
      <c r="M57" s="50"/>
      <c r="N57" s="50"/>
      <c r="O57" s="34"/>
      <c r="P57" s="92"/>
      <c r="Q57" s="35"/>
      <c r="R57" s="34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50"/>
      <c r="K58" s="50"/>
      <c r="L58" s="50"/>
      <c r="M58" s="50"/>
      <c r="N58" s="50"/>
      <c r="O58" s="34"/>
      <c r="P58" s="92"/>
      <c r="Q58" s="35"/>
      <c r="R58" s="34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50"/>
      <c r="K59" s="50"/>
      <c r="L59" s="50"/>
      <c r="M59" s="50"/>
      <c r="N59" s="50"/>
      <c r="O59" s="34"/>
      <c r="P59" s="92"/>
      <c r="Q59" s="35"/>
      <c r="R59" s="34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50"/>
      <c r="K60" s="50"/>
      <c r="L60" s="50"/>
      <c r="M60" s="50"/>
      <c r="N60" s="50"/>
      <c r="O60" s="34"/>
      <c r="P60" s="92"/>
      <c r="Q60" s="35"/>
      <c r="R60" s="34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50"/>
      <c r="K61" s="50"/>
      <c r="L61" s="50"/>
      <c r="M61" s="50"/>
      <c r="N61" s="50"/>
      <c r="O61" s="34"/>
      <c r="P61" s="92"/>
      <c r="Q61" s="35"/>
      <c r="R61" s="34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4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4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4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4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4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4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4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4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4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4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4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4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4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4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4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4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4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4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4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4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4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4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4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4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4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4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4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4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4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4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4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4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4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4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4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4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4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4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4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4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4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4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4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4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4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4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4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4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4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4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4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4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4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2017-05-16T15:44:30Z</dcterms:modified>
</cp:coreProperties>
</file>