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2151EEC8-8907-BA43-BADC-13FE7B691B5C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G34" i="2"/>
  <c r="G35" i="2"/>
  <c r="A35" i="2"/>
  <c r="A33" i="2"/>
  <c r="A34" i="2"/>
  <c r="A29" i="2"/>
  <c r="A30" i="2" s="1"/>
  <c r="A31" i="2" s="1"/>
  <c r="A32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<sst xmlns="http://schemas.openxmlformats.org/spreadsheetml/2006/main" count="195" uniqueCount="126">
  <si>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</si>
  <si>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</si>
  <si>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</si>
  <si>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</si>
  <si>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</si>
  <si>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</si>
  <si>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</si>
  <si>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</si>
  <si>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</si>
  <si>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</si>
  <si>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</si>
  <si>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</si>
  <si>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</si>
  <si>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</si>
  <si>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</si>
  <si>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</si>
  <si>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</si>
  <si>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</si>
  <si>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</si>
  <si>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</si>
  <si>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</si>
  <si>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</si>
  <si>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</si>
  <si>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</si>
  <si>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</si>
  <si>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</si>
  <si>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</si>
  <si>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</si>
  <si>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</si>
  <si>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</si>
  <si>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</si>
  <si>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</si>
  <si>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</si>
  <si>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</si>
  <si>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</si>
  <si>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</si>
  <si>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</si>
  <si>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</si>
  <si>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</si>
  <si>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</si>
  <si>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</si>
  <si>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</si>
  <si>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</si>
  <si>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</si>
  <si>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</si>
  <si>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</si>
  <si>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</si>
  <si>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</si>
  <si>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</si>
  <si>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</si>
  <si>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</si>
  <si>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</si>
  <si>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</si>
  <si>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</si>
  <si>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</si>
  <si>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</si>
  <si>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</si>
  <si>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</si>
  <si>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</si>
  <si>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</si>
  <si>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</si>
  <si>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</si>
  <si>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</si>
  <si>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</si>
  <si>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</si>
  <si>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</si>
  <si>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</si>
  <si>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</si>
  <si>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</si>
  <si>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</si>
  <si>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</si>
  <si>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</si>
  <si>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</si>
  <si>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</si>
  <si>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</si>
  <si>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</si>
  <si>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</si>
  <si>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</si>
  <si>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</si>
  <si>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</si>
  <si>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</si>
  <si>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</si>
  <si>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</si>
  <si>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</si>
  <si>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</si>
  <si>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</si>
  <si>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</si>
  <si>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</si>
  <si>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</si>
  <si>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</si>
  <si>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</si>
  <si>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</si>
  <si>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</si>
  <si>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</si>
  <si>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</si>
  <si>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</si>
  <si>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</si>
  <si>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</si>
  <si>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</si>
  <si>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</si>
  <si>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</si>
  <si>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</si>
  <si>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</si>
  <si>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</si>
  <si>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</si>
  <si>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</si>
  <si>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</si>
  <si>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</si>
  <si>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</si>
  <si>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</si>
  <si>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</si>
  <si>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</si>
  <si>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</si>
  <si>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</si>
  <si>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</si>
  <si>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</si>
  <si>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</si>
  <si>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</si>
  <si>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</si>
  <si>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</si>
  <si>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</si>
  <si>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</si>
  <si>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</si>
  <si>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</si>
  <si>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70-14</t>
  </si>
  <si>
    <t>IERMT0006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</si>
</sst>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zoomScale="130" zoomScaleNormal="130" workbookViewId="0">
      <selection activeCell="B26" sqref="B26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60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9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5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8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2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1">
        <v>988318.18181818142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1">
        <v>8781.3219450839388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28.1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2.4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2.4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312.83999999999997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3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48.7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10.5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4">
        <v>10.5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36.6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7.3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4">
        <v>7.3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90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topLeftCell="F1" zoomScale="140" zoomScaleNormal="140" workbookViewId="0">
      <selection activeCell="K40" sqref="K40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18</v>
      </c>
      <c r="C11" s="39">
        <v>66</v>
      </c>
      <c r="D11" s="48">
        <v>1.5929585029551181</v>
      </c>
      <c r="E11" s="54">
        <v>750000</v>
      </c>
      <c r="F11" s="54">
        <v>2750000</v>
      </c>
      <c r="G11" s="48">
        <f>E11/F11</f>
        <v>0.27272727272727271</v>
      </c>
      <c r="H11" s="54">
        <v>2.4000000000000001E-5</v>
      </c>
      <c r="I11" s="48">
        <v>41.737570712413209</v>
      </c>
      <c r="J11" s="48">
        <v>30.983334030778899</v>
      </c>
      <c r="K11" s="48">
        <v>8.5109471787415352</v>
      </c>
      <c r="L11" s="48">
        <v>8.5109471787415352</v>
      </c>
    </row>
    <row r="12" spans="1:12" ht="12.75" customHeight="1" x14ac:dyDescent="0.15">
      <c r="A12" s="42">
        <v>2</v>
      </c>
      <c r="B12" s="39">
        <v>31</v>
      </c>
      <c r="C12" s="39">
        <v>19</v>
      </c>
      <c r="D12" s="48">
        <v>1.6365344336141459</v>
      </c>
      <c r="E12" s="54">
        <v>442857.1428571429</v>
      </c>
      <c r="F12" s="54">
        <v>271428.57142857148</v>
      </c>
      <c r="G12" s="48">
        <f t="shared" ref="G12:G35" si="0">E12/F12</f>
        <v>1.6315789473684208</v>
      </c>
      <c r="H12" s="54">
        <v>6.9999999999999994E-5</v>
      </c>
      <c r="I12" s="48">
        <v>4.1195524339524736</v>
      </c>
      <c r="J12" s="48">
        <v>183.17564017652751</v>
      </c>
      <c r="K12" s="48">
        <v>54.842543581644783</v>
      </c>
      <c r="L12" s="48">
        <v>54.842543581644783</v>
      </c>
    </row>
    <row r="13" spans="1:12" ht="12.75" customHeight="1" x14ac:dyDescent="0.15">
      <c r="A13" s="42">
        <v>3</v>
      </c>
      <c r="B13" s="39">
        <v>45</v>
      </c>
      <c r="C13" s="39">
        <v>27</v>
      </c>
      <c r="D13" s="48">
        <v>1.5305548775671425</v>
      </c>
      <c r="E13" s="54">
        <v>478723.40425531915</v>
      </c>
      <c r="F13" s="54">
        <v>287234.04255319148</v>
      </c>
      <c r="G13" s="48">
        <f t="shared" si="0"/>
        <v>1.6666666666666667</v>
      </c>
      <c r="H13" s="54">
        <v>9.3999999999999994E-5</v>
      </c>
      <c r="I13" s="48">
        <v>4.3594367862095034</v>
      </c>
      <c r="J13" s="48">
        <v>187.05829987256962</v>
      </c>
      <c r="K13" s="48">
        <v>47.325816834211139</v>
      </c>
      <c r="L13" s="48">
        <v>47.325816834211139</v>
      </c>
    </row>
    <row r="14" spans="1:12" ht="12.75" customHeight="1" x14ac:dyDescent="0.15">
      <c r="A14" s="42">
        <v>4</v>
      </c>
      <c r="B14" s="39">
        <v>18</v>
      </c>
      <c r="C14" s="39">
        <v>31</v>
      </c>
      <c r="D14" s="48">
        <v>1.6904467188802277</v>
      </c>
      <c r="E14" s="54">
        <v>214285.71428571429</v>
      </c>
      <c r="F14" s="54">
        <v>369047.61904761905</v>
      </c>
      <c r="G14" s="48">
        <f t="shared" si="0"/>
        <v>0.58064516129032262</v>
      </c>
      <c r="H14" s="54">
        <v>8.3999999999999995E-5</v>
      </c>
      <c r="I14" s="48">
        <v>5.6011458531809932</v>
      </c>
      <c r="J14" s="48">
        <v>65.786498309300612</v>
      </c>
      <c r="K14" s="48">
        <v>20.015053377381548</v>
      </c>
      <c r="L14" s="48">
        <v>20.015053377381548</v>
      </c>
    </row>
    <row r="15" spans="1:12" ht="12.75" customHeight="1" x14ac:dyDescent="0.15">
      <c r="A15" s="42">
        <v>5</v>
      </c>
      <c r="B15" s="39">
        <v>11</v>
      </c>
      <c r="C15" s="39">
        <v>61</v>
      </c>
      <c r="D15" s="48">
        <v>1.7241651642803699</v>
      </c>
      <c r="E15" s="54">
        <v>229166.66666666666</v>
      </c>
      <c r="F15" s="54">
        <v>1270833.3333333333</v>
      </c>
      <c r="G15" s="48">
        <f t="shared" si="0"/>
        <v>0.18032786885245902</v>
      </c>
      <c r="H15" s="54">
        <v>4.8000000000000001E-5</v>
      </c>
      <c r="I15" s="48">
        <v>19.287816768615194</v>
      </c>
      <c r="J15" s="48">
        <v>20.502916370692819</v>
      </c>
      <c r="K15" s="48">
        <v>6.863194852950719</v>
      </c>
      <c r="L15" s="48">
        <v>6.863194852950719</v>
      </c>
    </row>
    <row r="16" spans="1:12" ht="12.75" customHeight="1" x14ac:dyDescent="0.15">
      <c r="A16" s="42">
        <v>6</v>
      </c>
      <c r="B16" s="39">
        <v>38</v>
      </c>
      <c r="C16" s="39">
        <v>195</v>
      </c>
      <c r="D16" s="48">
        <v>1.6894641972388866</v>
      </c>
      <c r="E16" s="54">
        <v>422222.22222222225</v>
      </c>
      <c r="F16" s="54">
        <v>2166666.666666667</v>
      </c>
      <c r="G16" s="48">
        <f t="shared" si="0"/>
        <v>0.19487179487179485</v>
      </c>
      <c r="H16" s="54">
        <v>8.9999999999999992E-5</v>
      </c>
      <c r="I16" s="48">
        <v>32.884146621901316</v>
      </c>
      <c r="J16" s="48">
        <v>22.153693725044374</v>
      </c>
      <c r="K16" s="48">
        <v>4.2146735069744423</v>
      </c>
      <c r="L16" s="48">
        <v>4.2146735069744423</v>
      </c>
    </row>
    <row r="17" spans="1:12" ht="12.75" customHeight="1" x14ac:dyDescent="0.15">
      <c r="A17" s="42">
        <v>7</v>
      </c>
      <c r="B17" s="39">
        <v>7</v>
      </c>
      <c r="C17" s="39">
        <v>34</v>
      </c>
      <c r="D17" s="48">
        <v>1.5809672444424601</v>
      </c>
      <c r="E17" s="54">
        <v>194444.44444444444</v>
      </c>
      <c r="F17" s="54">
        <v>944444.44444444438</v>
      </c>
      <c r="G17" s="48">
        <f t="shared" si="0"/>
        <v>0.20588235294117649</v>
      </c>
      <c r="H17" s="54">
        <v>3.6000000000000001E-5</v>
      </c>
      <c r="I17" s="48">
        <v>14.334115194162111</v>
      </c>
      <c r="J17" s="48">
        <v>23.403142626977488</v>
      </c>
      <c r="K17" s="48">
        <v>9.8465459444662162</v>
      </c>
      <c r="L17" s="48">
        <v>9.8465459444662162</v>
      </c>
    </row>
    <row r="18" spans="1:12" ht="12.75" customHeight="1" x14ac:dyDescent="0.15">
      <c r="A18" s="42">
        <v>8</v>
      </c>
      <c r="B18" s="39">
        <v>25</v>
      </c>
      <c r="C18" s="39">
        <v>25</v>
      </c>
      <c r="D18" s="48">
        <v>1.5785810503914366</v>
      </c>
      <c r="E18" s="54">
        <v>694444.44444444438</v>
      </c>
      <c r="F18" s="54">
        <v>694444.44444444438</v>
      </c>
      <c r="G18" s="48">
        <f t="shared" si="0"/>
        <v>1</v>
      </c>
      <c r="H18" s="54">
        <v>3.6000000000000001E-5</v>
      </c>
      <c r="I18" s="48">
        <v>10.539790583942729</v>
      </c>
      <c r="J18" s="48">
        <v>112.88494919980391</v>
      </c>
      <c r="K18" s="48">
        <v>32.862885614657834</v>
      </c>
      <c r="L18" s="48">
        <v>32.862885614657834</v>
      </c>
    </row>
    <row r="19" spans="1:12" ht="12.75" customHeight="1" x14ac:dyDescent="0.15">
      <c r="A19" s="42">
        <v>9</v>
      </c>
      <c r="B19" s="39">
        <v>30</v>
      </c>
      <c r="C19" s="39">
        <v>35</v>
      </c>
      <c r="D19" s="48">
        <v>1.5922586444469151</v>
      </c>
      <c r="E19" s="54">
        <v>375000.00000000006</v>
      </c>
      <c r="F19" s="54">
        <v>437500.00000000006</v>
      </c>
      <c r="G19" s="48">
        <f t="shared" si="0"/>
        <v>0.85714285714285721</v>
      </c>
      <c r="H19" s="54">
        <v>7.9999999999999993E-5</v>
      </c>
      <c r="I19" s="48">
        <v>6.6400680678839201</v>
      </c>
      <c r="J19" s="48">
        <v>96.879030870864085</v>
      </c>
      <c r="K19" s="48">
        <v>25.01181005727031</v>
      </c>
      <c r="L19" s="48">
        <v>25.01181005727031</v>
      </c>
    </row>
    <row r="20" spans="1:12" ht="12.75" customHeight="1" x14ac:dyDescent="0.15">
      <c r="A20" s="42">
        <v>10</v>
      </c>
      <c r="B20" s="39">
        <v>22</v>
      </c>
      <c r="C20" s="39">
        <v>160</v>
      </c>
      <c r="D20" s="48">
        <v>1.4745938027526975</v>
      </c>
      <c r="E20" s="54">
        <v>407407.40740740742</v>
      </c>
      <c r="F20" s="54">
        <v>2962962.9629629632</v>
      </c>
      <c r="G20" s="48">
        <f t="shared" si="0"/>
        <v>0.13749999999999998</v>
      </c>
      <c r="H20" s="54">
        <v>5.3999999999999998E-5</v>
      </c>
      <c r="I20" s="48">
        <v>44.969773158155647</v>
      </c>
      <c r="J20" s="48">
        <v>15.639374041714555</v>
      </c>
      <c r="K20" s="48">
        <v>3.7159385516796424</v>
      </c>
      <c r="L20" s="48">
        <v>3.7159385516796424</v>
      </c>
    </row>
    <row r="21" spans="1:12" ht="12.75" customHeight="1" x14ac:dyDescent="0.15">
      <c r="A21" s="42">
        <v>11</v>
      </c>
      <c r="B21" s="39">
        <v>14</v>
      </c>
      <c r="C21" s="39">
        <v>121</v>
      </c>
      <c r="D21" s="48"/>
      <c r="E21" s="54">
        <v>140000</v>
      </c>
      <c r="F21" s="54">
        <v>1210000</v>
      </c>
      <c r="G21" s="48">
        <f t="shared" si="0"/>
        <v>0.11570247933884298</v>
      </c>
      <c r="H21" s="54">
        <v>9.9999999999999991E-5</v>
      </c>
      <c r="I21" s="48">
        <v>18.364531113461812</v>
      </c>
      <c r="J21" s="48">
        <v>13.162633239299776</v>
      </c>
      <c r="K21" s="48">
        <v>3.8249388340229658</v>
      </c>
      <c r="L21" s="48">
        <v>3.8249388340229658</v>
      </c>
    </row>
    <row r="22" spans="1:12" ht="12.75" customHeight="1" x14ac:dyDescent="0.15">
      <c r="A22" s="42">
        <v>12</v>
      </c>
      <c r="B22" s="39">
        <v>4</v>
      </c>
      <c r="C22" s="39">
        <v>75</v>
      </c>
      <c r="D22" s="48">
        <v>1.70800128378924</v>
      </c>
      <c r="E22" s="54">
        <v>80000</v>
      </c>
      <c r="F22" s="54">
        <v>1500000.0000000002</v>
      </c>
      <c r="G22" s="48">
        <f t="shared" si="0"/>
        <v>5.3333333333333323E-2</v>
      </c>
      <c r="H22" s="54">
        <v>4.9999999999999996E-5</v>
      </c>
      <c r="I22" s="48">
        <v>22.7659476613163</v>
      </c>
      <c r="J22" s="48">
        <v>6.0706858017858538</v>
      </c>
      <c r="K22" s="48">
        <v>3.1432042280703647</v>
      </c>
      <c r="L22" s="48">
        <v>3.1432042280703647</v>
      </c>
    </row>
    <row r="23" spans="1:12" ht="12.75" customHeight="1" x14ac:dyDescent="0.15">
      <c r="A23" s="42">
        <v>13</v>
      </c>
      <c r="B23" s="39">
        <v>13</v>
      </c>
      <c r="C23" s="39">
        <v>102</v>
      </c>
      <c r="D23" s="48">
        <v>1.5242121485773281</v>
      </c>
      <c r="E23" s="54">
        <v>260000.00000000003</v>
      </c>
      <c r="F23" s="54">
        <v>2040000.0000000002</v>
      </c>
      <c r="G23" s="48">
        <f t="shared" si="0"/>
        <v>0.12745098039215685</v>
      </c>
      <c r="H23" s="54">
        <v>4.9999999999999996E-5</v>
      </c>
      <c r="I23" s="48">
        <v>30.961688819390165</v>
      </c>
      <c r="J23" s="48">
        <v>14.497673536898255</v>
      </c>
      <c r="K23" s="48">
        <v>4.3848433600496106</v>
      </c>
      <c r="L23" s="48">
        <v>4.3848433600496106</v>
      </c>
    </row>
    <row r="24" spans="1:12" ht="12.75" customHeight="1" x14ac:dyDescent="0.15">
      <c r="A24" s="42">
        <v>14</v>
      </c>
      <c r="B24" s="40">
        <v>12</v>
      </c>
      <c r="C24" s="40">
        <v>102</v>
      </c>
      <c r="D24" s="41">
        <v>1.7182184202058379</v>
      </c>
      <c r="E24" s="55">
        <v>266666.66666666669</v>
      </c>
      <c r="F24" s="55">
        <v>2266666.666666667</v>
      </c>
      <c r="G24" s="48">
        <f t="shared" si="0"/>
        <v>0.11764705882352941</v>
      </c>
      <c r="H24" s="54">
        <v>4.4999999999999996E-5</v>
      </c>
      <c r="I24" s="41">
        <v>34.401876465989076</v>
      </c>
      <c r="J24" s="41">
        <v>13.383624518479147</v>
      </c>
      <c r="K24" s="41">
        <v>4.1873247620270746</v>
      </c>
      <c r="L24" s="41">
        <v>4.1873247620270746</v>
      </c>
    </row>
    <row r="25" spans="1:12" ht="12.75" customHeight="1" x14ac:dyDescent="0.15">
      <c r="A25" s="42">
        <v>15</v>
      </c>
      <c r="B25" s="40">
        <v>9</v>
      </c>
      <c r="C25" s="40">
        <v>29</v>
      </c>
      <c r="D25" s="41">
        <v>1.4816622536468327</v>
      </c>
      <c r="E25" s="55">
        <v>300000</v>
      </c>
      <c r="F25" s="55">
        <v>966666.66666666674</v>
      </c>
      <c r="G25" s="48">
        <f t="shared" si="0"/>
        <v>0.31034482758620685</v>
      </c>
      <c r="H25" s="54">
        <v>2.9999999999999997E-5</v>
      </c>
      <c r="I25" s="41">
        <v>14.671388492848282</v>
      </c>
      <c r="J25" s="41">
        <v>35.245236523195793</v>
      </c>
      <c r="K25" s="41">
        <v>13.666055457394739</v>
      </c>
      <c r="L25" s="41">
        <v>13.666055457394739</v>
      </c>
    </row>
    <row r="26" spans="1:12" ht="12.75" customHeight="1" x14ac:dyDescent="0.15">
      <c r="A26" s="42">
        <v>16</v>
      </c>
      <c r="B26" s="40">
        <v>24</v>
      </c>
      <c r="C26" s="40">
        <v>26</v>
      </c>
      <c r="D26" s="41">
        <v>1.468043729239086</v>
      </c>
      <c r="E26" s="55">
        <v>400000.00000000006</v>
      </c>
      <c r="F26" s="55">
        <v>433333.33333333337</v>
      </c>
      <c r="G26" s="48">
        <f t="shared" si="0"/>
        <v>0.92307692307692313</v>
      </c>
      <c r="H26" s="54">
        <v>5.9999999999999995E-5</v>
      </c>
      <c r="I26" s="41">
        <v>6.576829324380264</v>
      </c>
      <c r="J26" s="41">
        <v>104.2713155875927</v>
      </c>
      <c r="K26" s="41">
        <v>30.378249648685959</v>
      </c>
      <c r="L26" s="41">
        <v>30.378249648685959</v>
      </c>
    </row>
    <row r="27" spans="1:12" ht="12.75" customHeight="1" x14ac:dyDescent="0.15">
      <c r="A27" s="42">
        <v>17</v>
      </c>
      <c r="B27" s="40">
        <v>24</v>
      </c>
      <c r="C27" s="40">
        <v>71</v>
      </c>
      <c r="D27" s="41">
        <v>1.7343534217508338</v>
      </c>
      <c r="E27" s="55">
        <v>480000.00000000006</v>
      </c>
      <c r="F27" s="55">
        <v>1420000.0000000002</v>
      </c>
      <c r="G27" s="48">
        <f t="shared" si="0"/>
        <v>0.3380281690140845</v>
      </c>
      <c r="H27" s="54">
        <v>4.9999999999999996E-5</v>
      </c>
      <c r="I27" s="41">
        <v>21.551763786046095</v>
      </c>
      <c r="J27" s="41">
        <v>38.37983810329839</v>
      </c>
      <c r="K27" s="41">
        <v>9.4402774420843834</v>
      </c>
      <c r="L27" s="41">
        <v>9.4402774420843834</v>
      </c>
    </row>
    <row r="28" spans="1:12" ht="12.75" customHeight="1" x14ac:dyDescent="0.15">
      <c r="A28" s="42">
        <f>1+A27</f>
        <v>18</v>
      </c>
      <c r="B28" s="40">
        <v>7</v>
      </c>
      <c r="C28" s="40">
        <v>79</v>
      </c>
      <c r="D28" s="41">
        <v>1.5581482105340552</v>
      </c>
      <c r="E28" s="55">
        <v>152173.91304347827</v>
      </c>
      <c r="F28" s="55">
        <v>1717391.3043478262</v>
      </c>
      <c r="G28" s="48">
        <f t="shared" si="0"/>
        <v>8.8607594936708861E-2</v>
      </c>
      <c r="H28" s="54">
        <v>4.6E-5</v>
      </c>
      <c r="I28" s="41">
        <v>26.065360365854886</v>
      </c>
      <c r="J28" s="41">
        <v>10.08265314501757</v>
      </c>
      <c r="K28" s="41">
        <v>4.0364034396769117</v>
      </c>
      <c r="L28" s="41">
        <v>4.0364034396769117</v>
      </c>
    </row>
    <row r="29" spans="1:12" ht="12.75" customHeight="1" x14ac:dyDescent="0.15">
      <c r="A29" s="42">
        <f t="shared" ref="A29:A34" si="1">1+A28</f>
        <v>19</v>
      </c>
      <c r="B29" s="40">
        <v>3</v>
      </c>
      <c r="C29" s="40">
        <v>10</v>
      </c>
      <c r="D29" s="41">
        <v>2.0580128335919703</v>
      </c>
      <c r="E29" s="55">
        <v>75000</v>
      </c>
      <c r="F29" s="55">
        <v>250000.00000000003</v>
      </c>
      <c r="G29" s="48">
        <f t="shared" si="0"/>
        <v>0.3</v>
      </c>
      <c r="H29" s="54">
        <v>3.9999999999999996E-5</v>
      </c>
      <c r="I29" s="41">
        <v>3.7943246102193831</v>
      </c>
      <c r="J29" s="41">
        <v>34.073494150293122</v>
      </c>
      <c r="K29" s="41">
        <v>22.552515938203637</v>
      </c>
      <c r="L29" s="41">
        <v>22.552515938203637</v>
      </c>
    </row>
    <row r="30" spans="1:12" ht="12.75" customHeight="1" x14ac:dyDescent="0.15">
      <c r="A30" s="42">
        <f t="shared" si="1"/>
        <v>20</v>
      </c>
      <c r="B30" s="40">
        <v>16</v>
      </c>
      <c r="C30" s="40">
        <v>95</v>
      </c>
      <c r="D30" s="41">
        <v>1.624845215959325</v>
      </c>
      <c r="E30" s="55">
        <v>500000</v>
      </c>
      <c r="F30" s="55">
        <v>2968750</v>
      </c>
      <c r="G30" s="48">
        <f t="shared" si="0"/>
        <v>0.16842105263157894</v>
      </c>
      <c r="H30" s="54">
        <v>3.1999999999999999E-5</v>
      </c>
      <c r="I30" s="41">
        <v>45.057604746355167</v>
      </c>
      <c r="J30" s="41">
        <v>19.151143827039824</v>
      </c>
      <c r="K30" s="41">
        <v>5.3409459545596363</v>
      </c>
      <c r="L30" s="41">
        <v>5.3409459545596363</v>
      </c>
    </row>
    <row r="31" spans="1:12" ht="12.75" customHeight="1" x14ac:dyDescent="0.15">
      <c r="A31" s="42">
        <f t="shared" si="1"/>
        <v>21</v>
      </c>
      <c r="B31" s="40">
        <v>13</v>
      </c>
      <c r="C31" s="40">
        <v>14</v>
      </c>
      <c r="D31" s="41">
        <v>2.1221825714827935</v>
      </c>
      <c r="E31" s="55">
        <v>722222.22222222225</v>
      </c>
      <c r="F31" s="55">
        <v>777777.77777777775</v>
      </c>
      <c r="G31" s="48">
        <f t="shared" si="0"/>
        <v>0.9285714285714286</v>
      </c>
      <c r="H31" s="54">
        <v>1.8E-5</v>
      </c>
      <c r="I31" s="41">
        <v>11.804565454015856</v>
      </c>
      <c r="J31" s="41">
        <v>104.88695690646963</v>
      </c>
      <c r="K31" s="41">
        <v>41.040373811143503</v>
      </c>
      <c r="L31" s="41">
        <v>41.040373811143503</v>
      </c>
    </row>
    <row r="32" spans="1:12" ht="12.75" customHeight="1" x14ac:dyDescent="0.15">
      <c r="A32" s="42">
        <f t="shared" si="1"/>
        <v>22</v>
      </c>
      <c r="B32" s="40">
        <v>26</v>
      </c>
      <c r="C32" s="40">
        <v>210</v>
      </c>
      <c r="D32" s="41">
        <v>1.7802902468172561</v>
      </c>
      <c r="E32" s="55">
        <v>260000.00000000003</v>
      </c>
      <c r="F32" s="55">
        <v>2100000</v>
      </c>
      <c r="G32" s="48">
        <f t="shared" si="0"/>
        <v>0.12380952380952383</v>
      </c>
      <c r="H32" s="55">
        <v>9.9999999999999991E-5</v>
      </c>
      <c r="I32" s="41">
        <v>31.872326725842814</v>
      </c>
      <c r="J32" s="41">
        <v>14.083906372046824</v>
      </c>
      <c r="K32" s="41">
        <v>3.0847730704666438</v>
      </c>
      <c r="L32" s="41">
        <v>3.0847730704666438</v>
      </c>
    </row>
    <row r="33" spans="1:12" ht="12.75" customHeight="1" x14ac:dyDescent="0.15">
      <c r="A33" s="42">
        <f>1+A32</f>
        <v>23</v>
      </c>
      <c r="B33" s="40">
        <v>7</v>
      </c>
      <c r="C33" s="40">
        <v>43</v>
      </c>
      <c r="D33" s="41">
        <v>1.9369518656470666</v>
      </c>
      <c r="E33" s="55">
        <v>142857.14285714287</v>
      </c>
      <c r="F33" s="55">
        <v>877551.02040816331</v>
      </c>
      <c r="G33" s="48">
        <f t="shared" si="0"/>
        <v>0.16279069767441862</v>
      </c>
      <c r="H33" s="54">
        <v>4.8999999999999998E-5</v>
      </c>
      <c r="I33" s="41">
        <v>13.318853733831302</v>
      </c>
      <c r="J33" s="41">
        <v>18.511834846511807</v>
      </c>
      <c r="K33" s="41">
        <v>7.6519711967642587</v>
      </c>
      <c r="L33" s="41">
        <v>7.6519711967642587</v>
      </c>
    </row>
    <row r="34" spans="1:12" ht="12.75" customHeight="1" x14ac:dyDescent="0.15">
      <c r="A34" s="42">
        <f t="shared" si="1"/>
        <v>24</v>
      </c>
      <c r="B34" s="40">
        <v>9</v>
      </c>
      <c r="C34" s="40">
        <v>53</v>
      </c>
      <c r="D34" s="41">
        <v>1.8923955228833322</v>
      </c>
      <c r="E34" s="55">
        <v>160714.28571428571</v>
      </c>
      <c r="F34" s="55">
        <v>946428.57142857148</v>
      </c>
      <c r="G34" s="48">
        <f t="shared" si="0"/>
        <v>0.16981132075471697</v>
      </c>
      <c r="H34" s="55">
        <v>5.5999999999999999E-5</v>
      </c>
      <c r="I34" s="41">
        <v>14.364228881544806</v>
      </c>
      <c r="J34" s="41">
        <v>19.308994612506972</v>
      </c>
      <c r="K34" s="41">
        <v>7.0874520888154393</v>
      </c>
      <c r="L34" s="41">
        <v>7.0874520888154393</v>
      </c>
    </row>
    <row r="35" spans="1:12" ht="12.75" customHeight="1" x14ac:dyDescent="0.15">
      <c r="A35" s="42">
        <f>1+A34</f>
        <v>25</v>
      </c>
      <c r="B35" s="40">
        <v>11</v>
      </c>
      <c r="C35" s="40">
        <v>87</v>
      </c>
      <c r="D35" s="41">
        <v>1.7189657111832581</v>
      </c>
      <c r="E35" s="55">
        <v>183333.33333333334</v>
      </c>
      <c r="F35" s="55">
        <v>1450000.0000000002</v>
      </c>
      <c r="G35" s="48">
        <f t="shared" si="0"/>
        <v>0.12643678160919539</v>
      </c>
      <c r="H35" s="55">
        <v>5.9999999999999995E-5</v>
      </c>
      <c r="I35" s="41">
        <v>22.007082739272423</v>
      </c>
      <c r="J35" s="41">
        <v>14.382436012970425</v>
      </c>
      <c r="K35" s="41">
        <v>4.7079859297519153</v>
      </c>
      <c r="L35" s="41">
        <v>4.7079859297519153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A51" sqref="A51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57"/>
      <c r="C9" s="57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8"/>
      <c r="C10" s="5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8"/>
      <c r="C11" s="58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8"/>
      <c r="C12" s="5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8"/>
      <c r="C13" s="5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8"/>
      <c r="C14" s="5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8"/>
      <c r="C15" s="5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8"/>
      <c r="C16" s="5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8"/>
      <c r="C17" s="5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8"/>
      <c r="C18" s="58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8"/>
      <c r="C19" s="5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8"/>
      <c r="C20" s="5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8"/>
      <c r="C21" s="5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8"/>
      <c r="C22" s="58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8"/>
      <c r="C23" s="5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8"/>
      <c r="C24" s="5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8"/>
      <c r="C25" s="5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8"/>
      <c r="C26" s="5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8"/>
      <c r="C27" s="58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8"/>
      <c r="C28" s="5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8"/>
      <c r="C29" s="58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8"/>
      <c r="C30" s="58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8"/>
      <c r="C31" s="58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8"/>
      <c r="C32" s="58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8"/>
      <c r="C33" s="58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8"/>
      <c r="C34" s="5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8"/>
      <c r="C35" s="58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8"/>
      <c r="C36" s="58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8"/>
      <c r="C37" s="58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8"/>
      <c r="C38" s="58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8"/>
      <c r="C39" s="58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8"/>
      <c r="C40" s="5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8"/>
      <c r="C41" s="5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8"/>
      <c r="C42" s="5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8"/>
      <c r="C43" s="58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8"/>
      <c r="C44" s="58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8"/>
      <c r="C45" s="58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8"/>
      <c r="C46" s="5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8"/>
      <c r="C47" s="58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8"/>
      <c r="C48" s="58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8"/>
      <c r="C49" s="58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8"/>
      <c r="C50" s="58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8"/>
      <c r="C51" s="58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8"/>
      <c r="C52" s="5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8"/>
      <c r="C53" s="58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8"/>
      <c r="C54" s="58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8"/>
      <c r="C55" s="58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8"/>
      <c r="C56" s="58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8"/>
      <c r="C57" s="58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8"/>
      <c r="C58" s="58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8"/>
      <c r="C59" s="58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8"/>
      <c r="C60" s="58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2021-04-21T13:13:20Z</dcterms:modified>
</cp:coreProperties>
</file>