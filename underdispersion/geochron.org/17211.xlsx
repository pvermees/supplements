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1D2DF7FD-F42B-BC42-BC50-55A937E559A3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<sst xmlns="http://schemas.openxmlformats.org/spreadsheetml/2006/main" count="197" uniqueCount="127">
  <si>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</si>
  <si>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</si>
  <si>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</si>
  <si>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</si>
  <si>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</si>
  <si>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</si>
  <si>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</si>
  <si>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</si>
  <si>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</si>
  <si>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</si>
  <si>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</si>
  <si>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</si>
  <si>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</si>
  <si>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</si>
  <si>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</si>
  <si>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</si>
  <si>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</si>
  <si>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</si>
  <si>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</si>
  <si>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</si>
  <si>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</si>
  <si>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</si>
  <si>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</si>
  <si>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</si>
  <si>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</si>
  <si>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</si>
  <si>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</si>
  <si>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</si>
  <si>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</si>
  <si>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</si>
  <si>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</si>
  <si>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</si>
  <si>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</si>
  <si>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</si>
  <si>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</si>
  <si>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</si>
  <si>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</si>
  <si>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</si>
  <si>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</si>
  <si>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</si>
  <si>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</si>
  <si>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</si>
  <si>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</si>
  <si>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</si>
  <si>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</si>
  <si>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</si>
  <si>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</si>
  <si>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</si>
  <si>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</si>
  <si>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</si>
  <si>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</si>
  <si>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</si>
  <si>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</si>
  <si>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</si>
  <si>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</si>
  <si>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</si>
  <si>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</si>
  <si>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</si>
  <si>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</si>
  <si>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</si>
  <si>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</si>
  <si>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</si>
  <si>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</si>
  <si>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</si>
  <si>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</si>
  <si>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</si>
  <si>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</si>
  <si>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</si>
  <si>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</si>
  <si>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</si>
  <si>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</si>
  <si>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</si>
  <si>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</si>
  <si>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</si>
  <si>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</si>
  <si>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</si>
  <si>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</si>
  <si>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</si>
  <si>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</si>
  <si>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</si>
  <si>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</si>
  <si>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</si>
  <si>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</si>
  <si>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</si>
  <si>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</si>
  <si>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</si>
  <si>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</si>
  <si>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</si>
  <si>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</si>
  <si>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</si>
  <si>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</si>
  <si>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</si>
  <si>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</si>
  <si>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</si>
  <si>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</si>
  <si>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</si>
  <si>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</si>
  <si>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</si>
  <si>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</si>
  <si>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</si>
  <si>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</si>
  <si>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</si>
  <si>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</si>
  <si>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</si>
  <si>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</si>
  <si>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</si>
  <si>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</si>
  <si>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</si>
  <si>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</si>
  <si>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</si>
  <si>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</si>
  <si>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</si>
  <si>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</si>
  <si>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</si>
  <si>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</si>
  <si>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</si>
  <si>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</si>
  <si>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</si>
  <si>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</si>
  <si>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</si>
  <si>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</si>
  <si>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</si>
  <si>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</si>
  <si>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</si>
  <si>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Tint</t>
  </si>
  <si>
    <t>IERMT0014</t>
  </si>
  <si>
    <t>77-9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</si>
</sst>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B8" sqref="B8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126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18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17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1016034.96503496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9027.58878625539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26.4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2.6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2.6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28.6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16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2.681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32.4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5.2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5.2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26.7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2.8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2.8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11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6"/>
  <sheetViews>
    <sheetView topLeftCell="F1" zoomScale="140" zoomScaleNormal="140" workbookViewId="0">
      <selection activeCell="I41" sqref="I41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25</v>
      </c>
      <c r="C11" s="39">
        <v>105</v>
      </c>
      <c r="D11" s="48">
        <v>1.807913042101545</v>
      </c>
      <c r="E11" s="54">
        <v>1041666.6666666666</v>
      </c>
      <c r="F11" s="54">
        <v>4375000</v>
      </c>
      <c r="G11" s="48">
        <f>E11/F11</f>
        <v>0.23809523809523808</v>
      </c>
      <c r="H11" s="54">
        <v>2.4000000000000001E-5</v>
      </c>
      <c r="I11" s="48">
        <v>64.589312630340387</v>
      </c>
      <c r="J11" s="48">
        <v>27.814353425778346</v>
      </c>
      <c r="K11" s="48">
        <v>6.4798329409526003</v>
      </c>
      <c r="L11" s="48">
        <v>6.4798329409526003</v>
      </c>
    </row>
    <row r="12" spans="1:12" ht="12.75" customHeight="1" x14ac:dyDescent="0.15">
      <c r="A12" s="42">
        <v>2</v>
      </c>
      <c r="B12" s="39">
        <v>34</v>
      </c>
      <c r="C12" s="39">
        <v>150</v>
      </c>
      <c r="D12" s="48">
        <v>1.773983704398006</v>
      </c>
      <c r="E12" s="54">
        <v>809523.80952380958</v>
      </c>
      <c r="F12" s="54">
        <v>3571428.5714285718</v>
      </c>
      <c r="G12" s="48">
        <f t="shared" ref="G12:G27" si="0">E12/F12</f>
        <v>0.22666666666666666</v>
      </c>
      <c r="H12" s="54">
        <v>4.1999999999999998E-5</v>
      </c>
      <c r="I12" s="48">
        <v>52.725969494155429</v>
      </c>
      <c r="J12" s="48">
        <v>26.482002461598583</v>
      </c>
      <c r="K12" s="48">
        <v>5.35096060342911</v>
      </c>
      <c r="L12" s="48">
        <v>5.35096060342911</v>
      </c>
    </row>
    <row r="13" spans="1:12" ht="12.75" customHeight="1" x14ac:dyDescent="0.15">
      <c r="A13" s="42">
        <v>3</v>
      </c>
      <c r="B13" s="39">
        <v>15</v>
      </c>
      <c r="C13" s="39">
        <v>40</v>
      </c>
      <c r="D13" s="48">
        <v>1.7509422939733676</v>
      </c>
      <c r="E13" s="54">
        <v>1500000.0000000002</v>
      </c>
      <c r="F13" s="54">
        <v>4000000.0000000005</v>
      </c>
      <c r="G13" s="48">
        <f t="shared" si="0"/>
        <v>0.375</v>
      </c>
      <c r="H13" s="54">
        <v>9.9999999999999991E-6</v>
      </c>
      <c r="I13" s="48">
        <v>59.053085833454084</v>
      </c>
      <c r="J13" s="48">
        <v>43.753440530983987</v>
      </c>
      <c r="K13" s="48">
        <v>13.585889869419177</v>
      </c>
      <c r="L13" s="48">
        <v>13.585889869419177</v>
      </c>
    </row>
    <row r="14" spans="1:12" ht="12.75" customHeight="1" x14ac:dyDescent="0.15">
      <c r="A14" s="42">
        <v>4</v>
      </c>
      <c r="B14" s="39">
        <v>27</v>
      </c>
      <c r="C14" s="39">
        <v>126</v>
      </c>
      <c r="D14" s="48"/>
      <c r="E14" s="54">
        <v>843750</v>
      </c>
      <c r="F14" s="54">
        <v>3937500</v>
      </c>
      <c r="G14" s="48">
        <f t="shared" si="0"/>
        <v>0.21428571428571427</v>
      </c>
      <c r="H14" s="54">
        <v>3.1999999999999999E-5</v>
      </c>
      <c r="I14" s="48">
        <v>58.130381367306356</v>
      </c>
      <c r="J14" s="48">
        <v>25.03831148354535</v>
      </c>
      <c r="K14" s="48">
        <v>5.5832328233760142</v>
      </c>
      <c r="L14" s="48">
        <v>5.5832328233760142</v>
      </c>
    </row>
    <row r="15" spans="1:12" ht="12.75" customHeight="1" x14ac:dyDescent="0.15">
      <c r="A15" s="42">
        <v>5</v>
      </c>
      <c r="B15" s="39">
        <v>9</v>
      </c>
      <c r="C15" s="39">
        <v>74</v>
      </c>
      <c r="D15" s="48">
        <v>1.6416347390568369</v>
      </c>
      <c r="E15" s="54">
        <v>333333.33333333337</v>
      </c>
      <c r="F15" s="54">
        <v>2740740.7407407407</v>
      </c>
      <c r="G15" s="48">
        <f t="shared" si="0"/>
        <v>0.12162162162162164</v>
      </c>
      <c r="H15" s="54">
        <v>2.6999999999999999E-5</v>
      </c>
      <c r="I15" s="48">
        <v>40.462299552551869</v>
      </c>
      <c r="J15" s="48">
        <v>14.222863847653269</v>
      </c>
      <c r="K15" s="48">
        <v>5.1157754434480935</v>
      </c>
      <c r="L15" s="48">
        <v>5.1157754434480935</v>
      </c>
    </row>
    <row r="16" spans="1:12" ht="12.75" customHeight="1" x14ac:dyDescent="0.15">
      <c r="A16" s="42">
        <v>6</v>
      </c>
      <c r="B16" s="39">
        <v>5</v>
      </c>
      <c r="C16" s="39">
        <v>27</v>
      </c>
      <c r="D16" s="48">
        <v>1.5334877907080475</v>
      </c>
      <c r="E16" s="54">
        <v>166666.66666666669</v>
      </c>
      <c r="F16" s="54">
        <v>900000.00000000012</v>
      </c>
      <c r="G16" s="48">
        <f t="shared" si="0"/>
        <v>0.18518518518518517</v>
      </c>
      <c r="H16" s="54">
        <v>2.9999999999999997E-5</v>
      </c>
      <c r="I16" s="48">
        <v>13.286944312527169</v>
      </c>
      <c r="J16" s="48">
        <v>21.643747331018997</v>
      </c>
      <c r="K16" s="48">
        <v>10.642628235974584</v>
      </c>
      <c r="L16" s="48">
        <v>10.642628235974584</v>
      </c>
    </row>
    <row r="17" spans="1:12" ht="12.75" customHeight="1" x14ac:dyDescent="0.15">
      <c r="A17" s="42">
        <v>7</v>
      </c>
      <c r="B17" s="39">
        <v>6</v>
      </c>
      <c r="C17" s="39">
        <v>36</v>
      </c>
      <c r="D17" s="48">
        <v>1.6352115816041501</v>
      </c>
      <c r="E17" s="54">
        <v>1000000</v>
      </c>
      <c r="F17" s="54">
        <v>6000000</v>
      </c>
      <c r="G17" s="48">
        <f t="shared" si="0"/>
        <v>0.16666666666666666</v>
      </c>
      <c r="H17" s="54">
        <v>6.0000000000000002E-6</v>
      </c>
      <c r="I17" s="48">
        <v>88.579628750181115</v>
      </c>
      <c r="J17" s="48">
        <v>19.482639231795563</v>
      </c>
      <c r="K17" s="48">
        <v>8.6953349166441072</v>
      </c>
      <c r="L17" s="48">
        <v>8.6953349166441072</v>
      </c>
    </row>
    <row r="18" spans="1:12" ht="12.75" customHeight="1" x14ac:dyDescent="0.15">
      <c r="A18" s="42">
        <v>8</v>
      </c>
      <c r="B18" s="39">
        <v>12</v>
      </c>
      <c r="C18" s="39">
        <v>39</v>
      </c>
      <c r="D18" s="48">
        <v>1.6336218813431524</v>
      </c>
      <c r="E18" s="54">
        <v>375000</v>
      </c>
      <c r="F18" s="54">
        <v>1218750</v>
      </c>
      <c r="G18" s="48">
        <f t="shared" si="0"/>
        <v>0.30769230769230771</v>
      </c>
      <c r="H18" s="54">
        <v>3.1999999999999999E-5</v>
      </c>
      <c r="I18" s="48">
        <v>17.992737089880539</v>
      </c>
      <c r="J18" s="48">
        <v>35.922090972566274</v>
      </c>
      <c r="K18" s="48">
        <v>12.114017814842761</v>
      </c>
      <c r="L18" s="48">
        <v>12.114017814842761</v>
      </c>
    </row>
    <row r="19" spans="1:12" ht="12.75" customHeight="1" x14ac:dyDescent="0.15">
      <c r="A19" s="42">
        <v>9</v>
      </c>
      <c r="B19" s="39">
        <v>18</v>
      </c>
      <c r="C19" s="39">
        <v>93</v>
      </c>
      <c r="D19" s="48">
        <v>1.6020085371385782</v>
      </c>
      <c r="E19" s="54">
        <v>720000.00000000012</v>
      </c>
      <c r="F19" s="54">
        <v>3720000.0000000005</v>
      </c>
      <c r="G19" s="48">
        <f t="shared" si="0"/>
        <v>0.19354838709677419</v>
      </c>
      <c r="H19" s="54">
        <v>2.4999999999999998E-5</v>
      </c>
      <c r="I19" s="48">
        <v>54.919369825112298</v>
      </c>
      <c r="J19" s="48">
        <v>22.6194942454336</v>
      </c>
      <c r="K19" s="48">
        <v>6.0296192133581847</v>
      </c>
      <c r="L19" s="48">
        <v>6.0296192133581847</v>
      </c>
    </row>
    <row r="20" spans="1:12" ht="12.75" customHeight="1" x14ac:dyDescent="0.15">
      <c r="A20" s="42">
        <v>10</v>
      </c>
      <c r="B20" s="39">
        <v>11</v>
      </c>
      <c r="C20" s="39">
        <v>12</v>
      </c>
      <c r="D20" s="48"/>
      <c r="E20" s="54">
        <v>110000.00000000001</v>
      </c>
      <c r="F20" s="54">
        <v>120000.00000000001</v>
      </c>
      <c r="G20" s="48">
        <f t="shared" si="0"/>
        <v>0.91666666666666663</v>
      </c>
      <c r="H20" s="54">
        <v>9.9999999999999991E-5</v>
      </c>
      <c r="I20" s="48">
        <v>1.7715925750036225</v>
      </c>
      <c r="J20" s="48">
        <v>106.43323348106227</v>
      </c>
      <c r="K20" s="48">
        <v>45.029226482156282</v>
      </c>
      <c r="L20" s="48">
        <v>45.029226482156282</v>
      </c>
    </row>
    <row r="21" spans="1:12" ht="12.75" customHeight="1" x14ac:dyDescent="0.15">
      <c r="A21" s="42">
        <v>11</v>
      </c>
      <c r="B21" s="39">
        <v>8</v>
      </c>
      <c r="C21" s="39">
        <v>18</v>
      </c>
      <c r="D21" s="48">
        <v>1.700089335534025</v>
      </c>
      <c r="E21" s="54">
        <v>444444.44444444444</v>
      </c>
      <c r="F21" s="54">
        <v>1000000</v>
      </c>
      <c r="G21" s="48">
        <f t="shared" si="0"/>
        <v>0.44444444444444442</v>
      </c>
      <c r="H21" s="54">
        <v>1.8E-5</v>
      </c>
      <c r="I21" s="48">
        <v>14.763271458363519</v>
      </c>
      <c r="J21" s="48">
        <v>51.823446662834733</v>
      </c>
      <c r="K21" s="48">
        <v>22.308502682456282</v>
      </c>
      <c r="L21" s="48">
        <v>22.308502682456282</v>
      </c>
    </row>
    <row r="22" spans="1:12" ht="12.75" customHeight="1" x14ac:dyDescent="0.15">
      <c r="A22" s="42">
        <v>12</v>
      </c>
      <c r="B22" s="39">
        <v>5</v>
      </c>
      <c r="C22" s="39">
        <v>22</v>
      </c>
      <c r="D22" s="48">
        <v>1.4760571618477951</v>
      </c>
      <c r="E22" s="54">
        <v>200000.00000000003</v>
      </c>
      <c r="F22" s="54">
        <v>880000.00000000012</v>
      </c>
      <c r="G22" s="48">
        <f t="shared" si="0"/>
        <v>0.22727272727272727</v>
      </c>
      <c r="H22" s="54">
        <v>2.4999999999999998E-5</v>
      </c>
      <c r="I22" s="48">
        <v>12.991678883359898</v>
      </c>
      <c r="J22" s="48">
        <v>26.552664350598757</v>
      </c>
      <c r="K22" s="48">
        <v>13.281760218378825</v>
      </c>
      <c r="L22" s="48">
        <v>13.281760218378825</v>
      </c>
    </row>
    <row r="23" spans="1:12" ht="12.75" customHeight="1" x14ac:dyDescent="0.15">
      <c r="A23" s="42">
        <v>13</v>
      </c>
      <c r="B23" s="39">
        <v>15</v>
      </c>
      <c r="C23" s="39">
        <v>50</v>
      </c>
      <c r="D23" s="48"/>
      <c r="E23" s="54">
        <v>394736.8421052632</v>
      </c>
      <c r="F23" s="54">
        <v>1315789.4736842108</v>
      </c>
      <c r="G23" s="48">
        <f t="shared" si="0"/>
        <v>0.3</v>
      </c>
      <c r="H23" s="54">
        <v>3.7999999999999995E-5</v>
      </c>
      <c r="I23" s="48">
        <v>19.425357182057265</v>
      </c>
      <c r="J23" s="48">
        <v>35.026473612634582</v>
      </c>
      <c r="K23" s="48">
        <v>10.590316046436755</v>
      </c>
      <c r="L23" s="48">
        <v>10.590316046436755</v>
      </c>
    </row>
    <row r="24" spans="1:12" ht="12.75" customHeight="1" x14ac:dyDescent="0.15">
      <c r="A24" s="42">
        <v>14</v>
      </c>
      <c r="B24" s="40">
        <v>5</v>
      </c>
      <c r="C24" s="40">
        <v>37</v>
      </c>
      <c r="D24" s="41"/>
      <c r="E24" s="55">
        <v>208333.33333333331</v>
      </c>
      <c r="F24" s="55">
        <v>1541666.6666666665</v>
      </c>
      <c r="G24" s="48">
        <f t="shared" si="0"/>
        <v>0.13513513513513514</v>
      </c>
      <c r="H24" s="54">
        <v>2.4000000000000001E-5</v>
      </c>
      <c r="I24" s="41">
        <v>22.76004349831042</v>
      </c>
      <c r="J24" s="41">
        <v>15.801247054115418</v>
      </c>
      <c r="K24" s="41">
        <v>7.6072288976278237</v>
      </c>
      <c r="L24" s="41">
        <v>7.6072288976278237</v>
      </c>
    </row>
    <row r="25" spans="1:12" ht="12.75" customHeight="1" x14ac:dyDescent="0.15">
      <c r="A25" s="42">
        <v>15</v>
      </c>
      <c r="B25" s="40">
        <v>11</v>
      </c>
      <c r="C25" s="40">
        <v>38</v>
      </c>
      <c r="D25" s="41">
        <v>1.6482680750149883</v>
      </c>
      <c r="E25" s="55">
        <v>916666.66666666663</v>
      </c>
      <c r="F25" s="55">
        <v>3166666.6666666665</v>
      </c>
      <c r="G25" s="48">
        <f t="shared" si="0"/>
        <v>0.28947368421052633</v>
      </c>
      <c r="H25" s="54">
        <v>1.2E-5</v>
      </c>
      <c r="I25" s="41">
        <v>46.750359618151144</v>
      </c>
      <c r="J25" s="41">
        <v>33.800690320375438</v>
      </c>
      <c r="K25" s="41">
        <v>11.804854306528981</v>
      </c>
      <c r="L25" s="41">
        <v>11.804854306528981</v>
      </c>
    </row>
    <row r="26" spans="1:12" ht="12.75" customHeight="1" x14ac:dyDescent="0.15">
      <c r="A26" s="42">
        <v>16</v>
      </c>
      <c r="B26" s="40">
        <v>26</v>
      </c>
      <c r="C26" s="40">
        <v>155</v>
      </c>
      <c r="D26" s="41">
        <v>1.5348427527471</v>
      </c>
      <c r="E26" s="55">
        <v>764705.8823529412</v>
      </c>
      <c r="F26" s="55">
        <v>4558823.5294117648</v>
      </c>
      <c r="G26" s="48">
        <f t="shared" si="0"/>
        <v>0.16774193548387098</v>
      </c>
      <c r="H26" s="54">
        <v>3.4E-5</v>
      </c>
      <c r="I26" s="41">
        <v>67.30314929548075</v>
      </c>
      <c r="J26" s="41">
        <v>19.60814273902734</v>
      </c>
      <c r="K26" s="41">
        <v>4.3697164366335031</v>
      </c>
      <c r="L26" s="41">
        <v>4.3697164366335031</v>
      </c>
    </row>
    <row r="27" spans="1:12" ht="12.75" customHeight="1" x14ac:dyDescent="0.15">
      <c r="A27" s="42">
        <v>17</v>
      </c>
      <c r="B27" s="40">
        <v>13</v>
      </c>
      <c r="C27" s="40">
        <v>62</v>
      </c>
      <c r="D27" s="41">
        <v>1.5351129073116214</v>
      </c>
      <c r="E27" s="55">
        <v>1083333.3333333333</v>
      </c>
      <c r="F27" s="55">
        <v>5166666.666666667</v>
      </c>
      <c r="G27" s="48">
        <f t="shared" si="0"/>
        <v>0.20967741935483869</v>
      </c>
      <c r="H27" s="54">
        <v>1.2E-5</v>
      </c>
      <c r="I27" s="41">
        <v>76.276902534878175</v>
      </c>
      <c r="J27" s="41">
        <v>24.500874957033073</v>
      </c>
      <c r="K27" s="41">
        <v>7.6622361148776434</v>
      </c>
      <c r="L27" s="41">
        <v>7.6622361148776434</v>
      </c>
    </row>
    <row r="28" spans="1:12" ht="12.75" customHeight="1" x14ac:dyDescent="0.15">
      <c r="A28" s="42"/>
      <c r="B28" s="40"/>
      <c r="C28" s="40"/>
      <c r="D28" s="41"/>
      <c r="E28" s="55"/>
      <c r="F28" s="55"/>
      <c r="G28" s="48"/>
      <c r="H28" s="55"/>
      <c r="I28" s="41"/>
      <c r="J28" s="41"/>
      <c r="K28" s="41"/>
      <c r="L28" s="41"/>
    </row>
    <row r="29" spans="1:12" ht="12.75" customHeight="1" x14ac:dyDescent="0.15">
      <c r="A29" s="42"/>
      <c r="B29" s="40"/>
      <c r="C29" s="40"/>
      <c r="D29" s="41"/>
      <c r="E29" s="55"/>
      <c r="F29" s="55"/>
      <c r="G29" s="48"/>
      <c r="H29" s="54"/>
      <c r="I29" s="41"/>
      <c r="J29" s="41"/>
      <c r="K29" s="41"/>
      <c r="L29" s="41"/>
    </row>
    <row r="30" spans="1:12" ht="12.75" customHeight="1" x14ac:dyDescent="0.15">
      <c r="A30" s="42"/>
      <c r="B30" s="40"/>
      <c r="C30" s="40"/>
      <c r="D30" s="41"/>
      <c r="E30" s="55"/>
      <c r="F30" s="55"/>
      <c r="G30" s="48"/>
      <c r="H30" s="55"/>
      <c r="I30" s="41"/>
      <c r="J30" s="41"/>
      <c r="K30" s="41"/>
      <c r="L30" s="41"/>
    </row>
    <row r="31" spans="1:12" ht="12.75" customHeight="1" x14ac:dyDescent="0.15">
      <c r="A31" s="42"/>
      <c r="B31" s="40"/>
      <c r="C31" s="40"/>
      <c r="D31" s="41"/>
      <c r="E31" s="55"/>
      <c r="F31" s="55"/>
      <c r="G31" s="48"/>
      <c r="H31" s="55"/>
      <c r="I31" s="41"/>
      <c r="J31" s="41"/>
      <c r="K31" s="41"/>
      <c r="L31" s="41"/>
    </row>
    <row r="32" spans="1:12" ht="12.75" customHeight="1" x14ac:dyDescent="0.15">
      <c r="A32" s="40"/>
      <c r="B32" s="40"/>
      <c r="C32" s="40"/>
      <c r="D32" s="41"/>
      <c r="E32" s="55"/>
      <c r="F32" s="55"/>
      <c r="G32" s="41"/>
      <c r="H32" s="55"/>
      <c r="I32" s="41"/>
      <c r="J32" s="41"/>
      <c r="K32" s="41"/>
      <c r="L32" s="41"/>
    </row>
    <row r="33" spans="1:12" ht="12.75" customHeight="1" x14ac:dyDescent="0.15">
      <c r="A33" s="40"/>
      <c r="B33" s="40"/>
      <c r="C33" s="40"/>
      <c r="D33" s="41"/>
      <c r="E33" s="55"/>
      <c r="F33" s="55"/>
      <c r="G33" s="41"/>
      <c r="H33" s="55"/>
      <c r="I33" s="41"/>
      <c r="J33" s="41"/>
      <c r="K33" s="41"/>
      <c r="L33" s="41"/>
    </row>
    <row r="34" spans="1:12" ht="12.75" customHeight="1" x14ac:dyDescent="0.15">
      <c r="A34" s="40"/>
      <c r="B34" s="40"/>
      <c r="C34" s="40"/>
      <c r="D34" s="41"/>
      <c r="E34" s="55"/>
      <c r="F34" s="55"/>
      <c r="G34" s="41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1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D11" sqref="D1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11</v>
      </c>
      <c r="B9" s="65">
        <v>11.26695291195</v>
      </c>
      <c r="C9" s="65">
        <v>20.727008318298299</v>
      </c>
      <c r="D9" s="24" t="s">
        <v>124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>
        <v>17</v>
      </c>
      <c r="B10" s="57">
        <v>7.5525761640515698</v>
      </c>
      <c r="C10" s="57">
        <v>26.626026206126198</v>
      </c>
      <c r="D10" s="24" t="s">
        <v>124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2021-04-26T13:13:00Z</dcterms:modified>
</cp:coreProperties>
</file>