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Apatite Fission Track/"/>
    </mc:Choice>
  </mc:AlternateContent>
  <xr:revisionPtr revIDLastSave="0" documentId="13_ncr:1_{5CF828F9-73A7-184E-9183-B8329681521F}" xr6:coauthVersionLast="46" xr6:coauthVersionMax="46" xr10:uidLastSave="{00000000-0000-0000-0000-000000000000}"/>
  <bookViews>
    <workbookView xWindow="16140" yWindow="460" windowWidth="17460" windowHeight="20540" activeTab="2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32" i="2" l="1"/>
  <c r="G33" i="2"/>
  <c r="G34" i="2"/>
  <c r="G35" i="2"/>
  <c r="G28" i="2"/>
  <c r="G29" i="2"/>
  <c r="G30" i="2"/>
  <c r="G31" i="2"/>
  <c r="A28" i="2"/>
  <c r="A29" i="2"/>
  <c r="A30" i="2"/>
  <c r="A3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11" i="2"/>
</calcChain>
</file>

<file path=xl/sharedStrings.xml><?xml version="1.0" encoding="utf-8"?>
<sst xmlns="http://schemas.openxmlformats.org/spreadsheetml/2006/main" count="195" uniqueCount="126">
  <si>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</si>
  <si>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</si>
  <si>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</si>
  <si>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</si>
  <si>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</si>
  <si>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</si>
  <si>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</si>
  <si>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</si>
  <si>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</si>
  <si>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</si>
  <si>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</si>
  <si>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</si>
  <si>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</si>
  <si>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</si>
  <si>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</si>
  <si>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</si>
  <si>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</si>
  <si>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</si>
  <si>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</si>
  <si>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</si>
  <si>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</si>
  <si>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</si>
  <si>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</si>
  <si>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</si>
  <si>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</si>
  <si>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</si>
  <si>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</si>
  <si>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</si>
  <si>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</si>
  <si>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</si>
  <si>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</si>
  <si>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</si>
  <si>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</si>
  <si>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</si>
  <si>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</si>
  <si>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</si>
  <si>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</si>
  <si>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</si>
  <si>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</si>
  <si>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</si>
  <si>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</si>
  <si>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</si>
  <si>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</si>
  <si>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</si>
  <si>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</si>
  <si>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</si>
  <si>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</si>
  <si>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</si>
  <si>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</si>
  <si>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</si>
  <si>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</si>
  <si>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</si>
  <si>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</si>
  <si>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</si>
  <si>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</si>
  <si>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</si>
  <si>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</si>
  <si>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</si>
  <si>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</si>
  <si>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</si>
  <si>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</si>
  <si>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</si>
  <si>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</si>
  <si>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</si>
  <si>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</si>
  <si>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</si>
  <si>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</si>
  <si>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</si>
  <si>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</si>
  <si>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</si>
  <si>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</si>
  <si>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</si>
  <si>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</si>
  <si>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</si>
  <si>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</si>
  <si>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</si>
  <si>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</si>
  <si>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</si>
  <si>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</si>
  <si>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</si>
  <si>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</si>
  <si>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</si>
  <si>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</si>
  <si>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</si>
  <si>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</si>
  <si>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</si>
  <si>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</si>
  <si>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</si>
  <si>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</si>
  <si>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</si>
  <si>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</si>
  <si>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</si>
  <si>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</si>
  <si>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</si>
  <si>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</si>
  <si>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</si>
  <si>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</si>
  <si>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</si>
  <si>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</si>
  <si>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</si>
  <si>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</si>
  <si>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</si>
  <si>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</si>
  <si>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</si>
  <si>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</si>
  <si>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</si>
  <si>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</si>
  <si>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</si>
  <si>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</si>
  <si>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</si>
  <si>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</si>
  <si>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</si>
  <si>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</si>
  <si>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</si>
  <si>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</si>
  <si>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</si>
  <si>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</si>
  <si>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</si>
  <si>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</si>
  <si>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</si>
  <si>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</si>
  <si>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</si>
  <si>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</si>
  <si>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</si>
  <si>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77-15</t>
  </si>
  <si>
    <t>IERMT0020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</si>
</sst>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opLeftCell="A28" zoomScale="130" zoomScaleNormal="130" workbookViewId="0">
      <selection activeCell="B53" sqref="B53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59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8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4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24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1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25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0">
        <v>995139.86013985984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0">
        <v>8841.9333500448938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89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9.9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0.9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0.9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41.76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24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2">
        <v>1.3740000000000001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11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0.9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3">
        <v>0.9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10.199999999999999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1.1000000000000001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3">
        <v>1.1000000000000001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26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disablePrompts="1"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92"/>
  <sheetViews>
    <sheetView topLeftCell="H1" zoomScale="140" zoomScaleNormal="140" workbookViewId="0">
      <selection activeCell="M22" sqref="M22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9</v>
      </c>
      <c r="C11" s="39">
        <v>206</v>
      </c>
      <c r="D11" s="48">
        <v>2.1919318069285239</v>
      </c>
      <c r="E11" s="54">
        <v>128571.42857142858</v>
      </c>
      <c r="F11" s="54">
        <v>2942857.1428571432</v>
      </c>
      <c r="G11" s="48">
        <f>E11/F11</f>
        <v>4.3689320388349509E-2</v>
      </c>
      <c r="H11" s="54">
        <v>6.9999999999999994E-5</v>
      </c>
      <c r="I11" s="48">
        <v>44.358445391437925</v>
      </c>
      <c r="J11" s="48">
        <v>5.0076902802615315</v>
      </c>
      <c r="K11" s="48">
        <v>1.7398780245056802</v>
      </c>
      <c r="L11" s="48">
        <v>1.7398780245056802</v>
      </c>
    </row>
    <row r="12" spans="1:12" ht="12.75" customHeight="1" x14ac:dyDescent="0.15">
      <c r="A12" s="42">
        <v>2</v>
      </c>
      <c r="B12" s="39">
        <v>18</v>
      </c>
      <c r="C12" s="39">
        <v>209</v>
      </c>
      <c r="D12" s="48">
        <v>2.0808321286843752</v>
      </c>
      <c r="E12" s="54">
        <v>243243.24324324325</v>
      </c>
      <c r="F12" s="54">
        <v>2824324.3243243243</v>
      </c>
      <c r="G12" s="48">
        <f t="shared" ref="G12:G35" si="0">E12/F12</f>
        <v>8.6124401913875603E-2</v>
      </c>
      <c r="H12" s="54">
        <v>7.3999999999999996E-5</v>
      </c>
      <c r="I12" s="48">
        <v>42.57176961930837</v>
      </c>
      <c r="J12" s="48">
        <v>9.867898399598662</v>
      </c>
      <c r="K12" s="48">
        <v>2.5175746698609092</v>
      </c>
      <c r="L12" s="48">
        <v>2.5175746698609092</v>
      </c>
    </row>
    <row r="13" spans="1:12" ht="12.75" customHeight="1" x14ac:dyDescent="0.15">
      <c r="A13" s="42">
        <v>3</v>
      </c>
      <c r="B13" s="39">
        <v>9</v>
      </c>
      <c r="C13" s="39">
        <v>165</v>
      </c>
      <c r="D13" s="48">
        <v>2.0108816460065131</v>
      </c>
      <c r="E13" s="54">
        <v>200000.00000000003</v>
      </c>
      <c r="F13" s="54">
        <v>3666666.666666667</v>
      </c>
      <c r="G13" s="48">
        <f t="shared" si="0"/>
        <v>5.454545454545455E-2</v>
      </c>
      <c r="H13" s="54">
        <v>4.4999999999999996E-5</v>
      </c>
      <c r="I13" s="48">
        <v>55.268613189979291</v>
      </c>
      <c r="J13" s="48">
        <v>6.251422365393748</v>
      </c>
      <c r="K13" s="48">
        <v>2.1828266047545046</v>
      </c>
      <c r="L13" s="48">
        <v>2.1828266047545046</v>
      </c>
    </row>
    <row r="14" spans="1:12" ht="12.75" customHeight="1" x14ac:dyDescent="0.15">
      <c r="A14" s="42">
        <v>4</v>
      </c>
      <c r="B14" s="39">
        <v>6</v>
      </c>
      <c r="C14" s="39">
        <v>134</v>
      </c>
      <c r="D14" s="48"/>
      <c r="E14" s="54">
        <v>125000</v>
      </c>
      <c r="F14" s="54">
        <v>2791666.6666666665</v>
      </c>
      <c r="G14" s="48">
        <f t="shared" si="0"/>
        <v>4.4776119402985079E-2</v>
      </c>
      <c r="H14" s="54">
        <v>4.8000000000000001E-5</v>
      </c>
      <c r="I14" s="48">
        <v>42.079512315097865</v>
      </c>
      <c r="J14" s="48">
        <v>5.1322101242254909</v>
      </c>
      <c r="K14" s="48">
        <v>2.1706232084846109</v>
      </c>
      <c r="L14" s="48">
        <v>2.1706232084846109</v>
      </c>
    </row>
    <row r="15" spans="1:12" ht="12.75" customHeight="1" x14ac:dyDescent="0.15">
      <c r="A15" s="42">
        <v>5</v>
      </c>
      <c r="B15" s="39">
        <v>5</v>
      </c>
      <c r="C15" s="39">
        <v>67</v>
      </c>
      <c r="D15" s="48"/>
      <c r="E15" s="54">
        <v>166666.66666666669</v>
      </c>
      <c r="F15" s="54">
        <v>2233333.3333333335</v>
      </c>
      <c r="G15" s="48">
        <f t="shared" si="0"/>
        <v>7.4626865671641798E-2</v>
      </c>
      <c r="H15" s="54">
        <v>2.9999999999999997E-5</v>
      </c>
      <c r="I15" s="48">
        <v>33.663609852078295</v>
      </c>
      <c r="J15" s="48">
        <v>8.5514153507223227</v>
      </c>
      <c r="K15" s="48">
        <v>4.008008281572482</v>
      </c>
      <c r="L15" s="48">
        <v>4.008008281572482</v>
      </c>
    </row>
    <row r="16" spans="1:12" ht="12.75" customHeight="1" x14ac:dyDescent="0.15">
      <c r="A16" s="42">
        <v>6</v>
      </c>
      <c r="B16" s="39">
        <v>7</v>
      </c>
      <c r="C16" s="39">
        <v>44</v>
      </c>
      <c r="D16" s="48">
        <v>2.1328304022122548</v>
      </c>
      <c r="E16" s="54">
        <v>350000.00000000006</v>
      </c>
      <c r="F16" s="54">
        <v>2200000</v>
      </c>
      <c r="G16" s="48">
        <f t="shared" si="0"/>
        <v>0.15909090909090912</v>
      </c>
      <c r="H16" s="54">
        <v>1.9999999999999998E-5</v>
      </c>
      <c r="I16" s="48">
        <v>33.161167913987569</v>
      </c>
      <c r="J16" s="48">
        <v>18.216399332894053</v>
      </c>
      <c r="K16" s="48">
        <v>7.5181959540569085</v>
      </c>
      <c r="L16" s="48">
        <v>7.5181959540569085</v>
      </c>
    </row>
    <row r="17" spans="1:12" ht="12.75" customHeight="1" x14ac:dyDescent="0.15">
      <c r="A17" s="42">
        <v>7</v>
      </c>
      <c r="B17" s="39">
        <v>7</v>
      </c>
      <c r="C17" s="39">
        <v>81</v>
      </c>
      <c r="D17" s="48">
        <v>1.9621737356564499</v>
      </c>
      <c r="E17" s="54">
        <v>140000</v>
      </c>
      <c r="F17" s="54">
        <v>1620000.0000000002</v>
      </c>
      <c r="G17" s="48">
        <f t="shared" si="0"/>
        <v>8.6419753086419734E-2</v>
      </c>
      <c r="H17" s="54">
        <v>4.9999999999999996E-5</v>
      </c>
      <c r="I17" s="48">
        <v>24.418678191209032</v>
      </c>
      <c r="J17" s="48">
        <v>9.9017129569716715</v>
      </c>
      <c r="K17" s="48">
        <v>3.9601002424054359</v>
      </c>
      <c r="L17" s="48">
        <v>3.9601002424054359</v>
      </c>
    </row>
    <row r="18" spans="1:12" ht="12.75" customHeight="1" x14ac:dyDescent="0.15">
      <c r="A18" s="42">
        <v>8</v>
      </c>
      <c r="B18" s="39">
        <v>8</v>
      </c>
      <c r="C18" s="39">
        <v>101</v>
      </c>
      <c r="D18" s="48">
        <v>2.077915981856</v>
      </c>
      <c r="E18" s="54">
        <v>142857.14285714287</v>
      </c>
      <c r="F18" s="54">
        <v>1803571.4285714286</v>
      </c>
      <c r="G18" s="48">
        <f t="shared" si="0"/>
        <v>7.9207920792079209E-2</v>
      </c>
      <c r="H18" s="54">
        <v>5.5999999999999999E-5</v>
      </c>
      <c r="I18" s="48">
        <v>27.185697721694357</v>
      </c>
      <c r="J18" s="48">
        <v>9.0759844131054912</v>
      </c>
      <c r="K18" s="48">
        <v>3.3916859274306135</v>
      </c>
      <c r="L18" s="48">
        <v>3.3916859274306135</v>
      </c>
    </row>
    <row r="19" spans="1:12" ht="12.75" customHeight="1" x14ac:dyDescent="0.15">
      <c r="A19" s="42">
        <v>9</v>
      </c>
      <c r="B19" s="39">
        <v>9</v>
      </c>
      <c r="C19" s="39">
        <v>72</v>
      </c>
      <c r="D19" s="48">
        <v>2.20695448059463</v>
      </c>
      <c r="E19" s="54">
        <v>300000</v>
      </c>
      <c r="F19" s="54">
        <v>2400000</v>
      </c>
      <c r="G19" s="48">
        <f t="shared" si="0"/>
        <v>0.125</v>
      </c>
      <c r="H19" s="54">
        <v>2.9999999999999997E-5</v>
      </c>
      <c r="I19" s="48">
        <v>36.175819542531897</v>
      </c>
      <c r="J19" s="48">
        <v>14.317215619498475</v>
      </c>
      <c r="K19" s="48">
        <v>5.1571779613411541</v>
      </c>
      <c r="L19" s="48">
        <v>5.1571779613411541</v>
      </c>
    </row>
    <row r="20" spans="1:12" ht="12.75" customHeight="1" x14ac:dyDescent="0.15">
      <c r="A20" s="42">
        <v>10</v>
      </c>
      <c r="B20" s="39">
        <v>18</v>
      </c>
      <c r="C20" s="39">
        <v>138</v>
      </c>
      <c r="D20" s="48">
        <v>2.11567316257648</v>
      </c>
      <c r="E20" s="54">
        <v>276923.07692307694</v>
      </c>
      <c r="F20" s="54">
        <v>2123076.9230769235</v>
      </c>
      <c r="G20" s="48">
        <f t="shared" si="0"/>
        <v>0.13043478260869562</v>
      </c>
      <c r="H20" s="54">
        <v>6.4999999999999994E-5</v>
      </c>
      <c r="I20" s="48">
        <v>32.001686518393605</v>
      </c>
      <c r="J20" s="48">
        <v>14.938982637020745</v>
      </c>
      <c r="K20" s="48">
        <v>3.882752069162108</v>
      </c>
      <c r="L20" s="48">
        <v>3.882752069162108</v>
      </c>
    </row>
    <row r="21" spans="1:12" ht="12.75" customHeight="1" x14ac:dyDescent="0.15">
      <c r="A21" s="42">
        <v>11</v>
      </c>
      <c r="B21" s="39">
        <v>9</v>
      </c>
      <c r="C21" s="39">
        <v>151</v>
      </c>
      <c r="D21" s="48"/>
      <c r="E21" s="54">
        <v>180000.00000000003</v>
      </c>
      <c r="F21" s="54">
        <v>3020000.0000000005</v>
      </c>
      <c r="G21" s="48">
        <f t="shared" si="0"/>
        <v>5.9602649006622516E-2</v>
      </c>
      <c r="H21" s="54">
        <v>4.9999999999999996E-5</v>
      </c>
      <c r="I21" s="48">
        <v>45.52123959101931</v>
      </c>
      <c r="J21" s="48">
        <v>6.8307175147567785</v>
      </c>
      <c r="K21" s="48">
        <v>2.3905905985726008</v>
      </c>
      <c r="L21" s="48">
        <v>2.3905905985726008</v>
      </c>
    </row>
    <row r="22" spans="1:12" ht="12.75" customHeight="1" x14ac:dyDescent="0.15">
      <c r="A22" s="42">
        <v>12</v>
      </c>
      <c r="B22" s="39">
        <v>14</v>
      </c>
      <c r="C22" s="39">
        <v>147</v>
      </c>
      <c r="D22" s="48">
        <v>1.8865254916551379</v>
      </c>
      <c r="E22" s="54">
        <v>259259.25925925927</v>
      </c>
      <c r="F22" s="54">
        <v>2722222.2222222225</v>
      </c>
      <c r="G22" s="48">
        <f t="shared" si="0"/>
        <v>9.5238095238095233E-2</v>
      </c>
      <c r="H22" s="54">
        <v>5.3999999999999998E-5</v>
      </c>
      <c r="I22" s="48">
        <v>41.032758277408867</v>
      </c>
      <c r="J22" s="48">
        <v>10.911237341211372</v>
      </c>
      <c r="K22" s="48">
        <v>3.1431412321625052</v>
      </c>
      <c r="L22" s="48">
        <v>3.1431412321625052</v>
      </c>
    </row>
    <row r="23" spans="1:12" ht="12.75" customHeight="1" x14ac:dyDescent="0.15">
      <c r="A23" s="42">
        <v>13</v>
      </c>
      <c r="B23" s="39">
        <v>11</v>
      </c>
      <c r="C23" s="39">
        <v>81</v>
      </c>
      <c r="D23" s="48">
        <v>1.9414924824037949</v>
      </c>
      <c r="E23" s="54">
        <v>244444.44444444447</v>
      </c>
      <c r="F23" s="54">
        <v>1800000.0000000002</v>
      </c>
      <c r="G23" s="48">
        <f t="shared" si="0"/>
        <v>0.13580246913580246</v>
      </c>
      <c r="H23" s="54">
        <v>4.4999999999999996E-5</v>
      </c>
      <c r="I23" s="48">
        <v>27.131864656898927</v>
      </c>
      <c r="J23" s="48">
        <v>15.553014669204181</v>
      </c>
      <c r="K23" s="48">
        <v>5.111353204736222</v>
      </c>
      <c r="L23" s="48">
        <v>5.111353204736222</v>
      </c>
    </row>
    <row r="24" spans="1:12" ht="12.75" customHeight="1" x14ac:dyDescent="0.15">
      <c r="A24" s="42">
        <v>14</v>
      </c>
      <c r="B24" s="40">
        <v>5</v>
      </c>
      <c r="C24" s="40">
        <v>80</v>
      </c>
      <c r="D24" s="41">
        <v>2.1620539266460401</v>
      </c>
      <c r="E24" s="55">
        <v>178571.42857142858</v>
      </c>
      <c r="F24" s="55">
        <v>2857142.8571428573</v>
      </c>
      <c r="G24" s="48">
        <f t="shared" si="0"/>
        <v>6.25E-2</v>
      </c>
      <c r="H24" s="54">
        <v>2.8E-5</v>
      </c>
      <c r="I24" s="41">
        <v>43.066451836347497</v>
      </c>
      <c r="J24" s="41">
        <v>7.1625819103141888</v>
      </c>
      <c r="K24" s="41">
        <v>3.3384848982000754</v>
      </c>
      <c r="L24" s="41">
        <v>3.3384848982000754</v>
      </c>
    </row>
    <row r="25" spans="1:12" ht="12.75" customHeight="1" x14ac:dyDescent="0.15">
      <c r="A25" s="42">
        <v>15</v>
      </c>
      <c r="B25" s="40">
        <v>13</v>
      </c>
      <c r="C25" s="40">
        <v>163</v>
      </c>
      <c r="D25" s="41"/>
      <c r="E25" s="55">
        <v>260000.00000000003</v>
      </c>
      <c r="F25" s="55">
        <v>3260000.0000000005</v>
      </c>
      <c r="G25" s="48">
        <f t="shared" si="0"/>
        <v>7.9754601226993863E-2</v>
      </c>
      <c r="H25" s="54">
        <v>4.9999999999999996E-5</v>
      </c>
      <c r="I25" s="41">
        <v>49.138821545272499</v>
      </c>
      <c r="J25" s="41">
        <v>9.1385810372322815</v>
      </c>
      <c r="K25" s="41">
        <v>2.7079817378385433</v>
      </c>
      <c r="L25" s="41">
        <v>2.7079817378385433</v>
      </c>
    </row>
    <row r="26" spans="1:12" ht="12.75" customHeight="1" x14ac:dyDescent="0.15">
      <c r="A26" s="42">
        <v>16</v>
      </c>
      <c r="B26" s="40">
        <v>11</v>
      </c>
      <c r="C26" s="40">
        <v>213</v>
      </c>
      <c r="D26" s="41">
        <v>1.9091547468880079</v>
      </c>
      <c r="E26" s="55">
        <v>183333.33333333334</v>
      </c>
      <c r="F26" s="55">
        <v>3550000.0000000005</v>
      </c>
      <c r="G26" s="48">
        <f t="shared" si="0"/>
        <v>5.1643192488262907E-2</v>
      </c>
      <c r="H26" s="54">
        <v>5.9999999999999995E-5</v>
      </c>
      <c r="I26" s="41">
        <v>53.510066406661771</v>
      </c>
      <c r="J26" s="41">
        <v>5.9189484556288212</v>
      </c>
      <c r="K26" s="41">
        <v>1.8750444773925439</v>
      </c>
      <c r="L26" s="41">
        <v>1.8750444773925439</v>
      </c>
    </row>
    <row r="27" spans="1:12" ht="12.75" customHeight="1" x14ac:dyDescent="0.15">
      <c r="A27" s="42">
        <v>17</v>
      </c>
      <c r="B27" s="40">
        <v>19</v>
      </c>
      <c r="C27" s="40">
        <v>156</v>
      </c>
      <c r="D27" s="41">
        <v>2.093514337995992</v>
      </c>
      <c r="E27" s="55">
        <v>316666.66666666669</v>
      </c>
      <c r="F27" s="55">
        <v>2600000</v>
      </c>
      <c r="G27" s="48">
        <f t="shared" si="0"/>
        <v>0.12179487179487181</v>
      </c>
      <c r="H27" s="54">
        <v>5.9999999999999995E-5</v>
      </c>
      <c r="I27" s="41">
        <v>39.190471171076219</v>
      </c>
      <c r="J27" s="41">
        <v>13.950504396790766</v>
      </c>
      <c r="K27" s="41">
        <v>3.5234831028326372</v>
      </c>
      <c r="L27" s="41">
        <v>3.5234831028326372</v>
      </c>
    </row>
    <row r="28" spans="1:12" ht="12.75" customHeight="1" x14ac:dyDescent="0.15">
      <c r="A28" s="42">
        <f>A27+1</f>
        <v>18</v>
      </c>
      <c r="B28" s="40">
        <v>8</v>
      </c>
      <c r="C28" s="40">
        <v>50</v>
      </c>
      <c r="D28" s="41">
        <v>2.0009843911685001</v>
      </c>
      <c r="E28" s="55">
        <v>444444.44444444444</v>
      </c>
      <c r="F28" s="55">
        <v>2777777.7777777775</v>
      </c>
      <c r="G28" s="48">
        <f t="shared" si="0"/>
        <v>0.16</v>
      </c>
      <c r="H28" s="55">
        <v>1.8E-5</v>
      </c>
      <c r="I28" s="41">
        <v>41.870161507560063</v>
      </c>
      <c r="J28" s="41">
        <v>18.32034529256088</v>
      </c>
      <c r="K28" s="41">
        <v>7.0895220407072452</v>
      </c>
      <c r="L28" s="41">
        <v>7.0895220407072452</v>
      </c>
    </row>
    <row r="29" spans="1:12" ht="12.75" customHeight="1" x14ac:dyDescent="0.15">
      <c r="A29" s="42">
        <f t="shared" ref="A29:A31" si="1">A28+1</f>
        <v>19</v>
      </c>
      <c r="B29" s="40">
        <v>4</v>
      </c>
      <c r="C29" s="40">
        <v>133</v>
      </c>
      <c r="D29" s="41">
        <v>1.7988526251285133</v>
      </c>
      <c r="E29" s="55">
        <v>100000.00000000001</v>
      </c>
      <c r="F29" s="55">
        <v>3325000.0000000005</v>
      </c>
      <c r="G29" s="48">
        <f t="shared" si="0"/>
        <v>3.0075187969924814E-2</v>
      </c>
      <c r="H29" s="54">
        <v>3.9999999999999996E-5</v>
      </c>
      <c r="I29" s="41">
        <v>50.118583324549405</v>
      </c>
      <c r="J29" s="41">
        <v>3.4476491936647604</v>
      </c>
      <c r="K29" s="41">
        <v>1.765616246351478</v>
      </c>
      <c r="L29" s="41">
        <v>1.765616246351478</v>
      </c>
    </row>
    <row r="30" spans="1:12" ht="12.75" customHeight="1" x14ac:dyDescent="0.15">
      <c r="A30" s="42">
        <f t="shared" si="1"/>
        <v>20</v>
      </c>
      <c r="B30" s="40">
        <v>5</v>
      </c>
      <c r="C30" s="40">
        <v>95</v>
      </c>
      <c r="D30" s="41"/>
      <c r="E30" s="55">
        <v>125000.00000000001</v>
      </c>
      <c r="F30" s="55">
        <v>2375000</v>
      </c>
      <c r="G30" s="48">
        <f t="shared" si="0"/>
        <v>5.2631578947368425E-2</v>
      </c>
      <c r="H30" s="55">
        <v>3.9999999999999996E-5</v>
      </c>
      <c r="I30" s="41">
        <v>35.798988088963853</v>
      </c>
      <c r="J30" s="41">
        <v>6.0321767896855922</v>
      </c>
      <c r="K30" s="41">
        <v>2.7988015686031171</v>
      </c>
      <c r="L30" s="41">
        <v>2.7988015686031171</v>
      </c>
    </row>
    <row r="31" spans="1:12" ht="12.75" customHeight="1" x14ac:dyDescent="0.15">
      <c r="A31" s="42">
        <f t="shared" si="1"/>
        <v>21</v>
      </c>
      <c r="B31" s="40">
        <v>6</v>
      </c>
      <c r="C31" s="40">
        <v>48</v>
      </c>
      <c r="D31" s="41">
        <v>2.0268388576687633</v>
      </c>
      <c r="E31" s="55">
        <v>240000.00000000003</v>
      </c>
      <c r="F31" s="55">
        <v>1920000.0000000002</v>
      </c>
      <c r="G31" s="48">
        <f t="shared" si="0"/>
        <v>0.125</v>
      </c>
      <c r="H31" s="55">
        <v>2.4999999999999998E-5</v>
      </c>
      <c r="I31" s="41">
        <v>28.940655634025521</v>
      </c>
      <c r="J31" s="41">
        <v>14.317215619498475</v>
      </c>
      <c r="K31" s="41">
        <v>6.2775712635057825</v>
      </c>
      <c r="L31" s="41">
        <v>6.2775712635057825</v>
      </c>
    </row>
    <row r="32" spans="1:12" ht="12.75" customHeight="1" x14ac:dyDescent="0.15">
      <c r="A32" s="40">
        <v>22</v>
      </c>
      <c r="B32" s="40">
        <v>10</v>
      </c>
      <c r="C32" s="40">
        <v>67</v>
      </c>
      <c r="D32" s="41">
        <v>2.2394991381372762</v>
      </c>
      <c r="E32" s="55">
        <v>400000.00000000006</v>
      </c>
      <c r="F32" s="55">
        <v>2680000.0000000005</v>
      </c>
      <c r="G32" s="48">
        <f t="shared" si="0"/>
        <v>0.14925373134328357</v>
      </c>
      <c r="H32" s="55">
        <v>2.4999999999999998E-5</v>
      </c>
      <c r="I32" s="41">
        <v>40.396331822493956</v>
      </c>
      <c r="J32" s="41">
        <v>17.091503771103795</v>
      </c>
      <c r="K32" s="41">
        <v>5.9126548590915959</v>
      </c>
      <c r="L32" s="41">
        <v>5.9126548590915959</v>
      </c>
    </row>
    <row r="33" spans="1:12" ht="12.75" customHeight="1" x14ac:dyDescent="0.15">
      <c r="A33" s="40">
        <v>23</v>
      </c>
      <c r="B33" s="40">
        <v>10</v>
      </c>
      <c r="C33" s="40">
        <v>75</v>
      </c>
      <c r="D33" s="41">
        <v>1.6679409385965058</v>
      </c>
      <c r="E33" s="55">
        <v>166666.66666666669</v>
      </c>
      <c r="F33" s="55">
        <v>1250000</v>
      </c>
      <c r="G33" s="48">
        <f t="shared" si="0"/>
        <v>0.13333333333333336</v>
      </c>
      <c r="H33" s="55">
        <v>5.9999999999999995E-5</v>
      </c>
      <c r="I33" s="41">
        <v>18.841572678402031</v>
      </c>
      <c r="J33" s="41">
        <v>15.270567197371909</v>
      </c>
      <c r="K33" s="41">
        <v>5.247462297339748</v>
      </c>
      <c r="L33" s="41">
        <v>5.247462297339748</v>
      </c>
    </row>
    <row r="34" spans="1:12" ht="12.75" customHeight="1" x14ac:dyDescent="0.15">
      <c r="A34" s="40">
        <v>24</v>
      </c>
      <c r="B34" s="40">
        <v>14</v>
      </c>
      <c r="C34" s="40">
        <v>115</v>
      </c>
      <c r="D34" s="41">
        <v>2.1451732252965763</v>
      </c>
      <c r="E34" s="55">
        <v>280000</v>
      </c>
      <c r="F34" s="55">
        <v>2300000</v>
      </c>
      <c r="G34" s="48">
        <f t="shared" si="0"/>
        <v>0.12173913043478261</v>
      </c>
      <c r="H34" s="55">
        <v>4.9999999999999996E-5</v>
      </c>
      <c r="I34" s="41">
        <v>34.668493728259733</v>
      </c>
      <c r="J34" s="41">
        <v>13.944126625783058</v>
      </c>
      <c r="K34" s="41">
        <v>4.0623657814241767</v>
      </c>
      <c r="L34" s="41">
        <v>4.0623657814241767</v>
      </c>
    </row>
    <row r="35" spans="1:12" ht="12.75" customHeight="1" x14ac:dyDescent="0.15">
      <c r="A35" s="40">
        <v>25</v>
      </c>
      <c r="B35" s="40">
        <v>19</v>
      </c>
      <c r="C35" s="40">
        <v>145</v>
      </c>
      <c r="D35" s="41">
        <v>1.9741749756792268</v>
      </c>
      <c r="E35" s="55">
        <v>316666.66666666669</v>
      </c>
      <c r="F35" s="55">
        <v>2416666.666666667</v>
      </c>
      <c r="G35" s="48">
        <f t="shared" si="0"/>
        <v>0.13103448275862067</v>
      </c>
      <c r="H35" s="55">
        <v>5.9999999999999995E-5</v>
      </c>
      <c r="I35" s="41">
        <v>36.427040511577268</v>
      </c>
      <c r="J35" s="41">
        <v>15.007587738292374</v>
      </c>
      <c r="K35" s="41">
        <v>3.8048912307425371</v>
      </c>
      <c r="L35" s="41">
        <v>3.8048912307425371</v>
      </c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2"/>
      <c r="B175" s="2"/>
      <c r="C175" s="2"/>
      <c r="D175" s="43"/>
      <c r="E175" s="50"/>
      <c r="F175" s="50"/>
      <c r="G175" s="43"/>
      <c r="H175" s="50"/>
      <c r="I175" s="43"/>
      <c r="J175" s="43"/>
      <c r="K175" s="43"/>
      <c r="L175" s="43"/>
    </row>
    <row r="176" spans="1:12" ht="12.75" customHeight="1" x14ac:dyDescent="0.15">
      <c r="A176" s="2"/>
      <c r="B176" s="2"/>
      <c r="C176" s="2"/>
      <c r="D176" s="43"/>
      <c r="E176" s="50"/>
      <c r="F176" s="50"/>
      <c r="G176" s="43"/>
      <c r="H176" s="50"/>
      <c r="I176" s="43"/>
      <c r="J176" s="43"/>
      <c r="K176" s="43"/>
      <c r="L176" s="43"/>
    </row>
    <row r="177" spans="1:12" ht="12.75" customHeight="1" x14ac:dyDescent="0.15">
      <c r="A177" s="2"/>
      <c r="B177" s="2"/>
      <c r="C177" s="2"/>
      <c r="D177" s="43"/>
      <c r="E177" s="50"/>
      <c r="F177" s="50"/>
      <c r="G177" s="43"/>
      <c r="H177" s="50"/>
      <c r="I177" s="43"/>
      <c r="J177" s="43"/>
      <c r="K177" s="43"/>
      <c r="L177" s="43"/>
    </row>
    <row r="178" spans="1:12" ht="12.75" customHeight="1" x14ac:dyDescent="0.15">
      <c r="A178" s="2"/>
      <c r="B178" s="2"/>
      <c r="C178" s="2"/>
      <c r="D178" s="43"/>
      <c r="E178" s="50"/>
      <c r="F178" s="50"/>
      <c r="G178" s="43"/>
      <c r="H178" s="50"/>
      <c r="I178" s="43"/>
      <c r="J178" s="43"/>
      <c r="K178" s="43"/>
      <c r="L178" s="43"/>
    </row>
    <row r="179" spans="1:12" ht="12.75" customHeight="1" x14ac:dyDescent="0.15">
      <c r="A179" s="2"/>
      <c r="B179" s="2"/>
      <c r="C179" s="2"/>
      <c r="D179" s="43"/>
      <c r="E179" s="50"/>
      <c r="F179" s="50"/>
      <c r="G179" s="43"/>
      <c r="H179" s="50"/>
      <c r="I179" s="43"/>
      <c r="J179" s="43"/>
      <c r="K179" s="43"/>
      <c r="L179" s="43"/>
    </row>
    <row r="180" spans="1:12" ht="12.75" customHeight="1" x14ac:dyDescent="0.15">
      <c r="A180" s="2"/>
      <c r="B180" s="2"/>
      <c r="C180" s="2"/>
      <c r="D180" s="43"/>
      <c r="E180" s="50"/>
      <c r="F180" s="50"/>
      <c r="G180" s="43"/>
      <c r="H180" s="50"/>
      <c r="I180" s="43"/>
      <c r="J180" s="43"/>
      <c r="K180" s="43"/>
      <c r="L180" s="43"/>
    </row>
    <row r="181" spans="1:12" ht="12.75" customHeight="1" x14ac:dyDescent="0.15">
      <c r="A181" s="2"/>
      <c r="B181" s="2"/>
      <c r="C181" s="2"/>
      <c r="D181" s="43"/>
      <c r="E181" s="50"/>
      <c r="F181" s="50"/>
      <c r="G181" s="43"/>
      <c r="H181" s="50"/>
      <c r="I181" s="43"/>
      <c r="J181" s="43"/>
      <c r="K181" s="43"/>
      <c r="L181" s="43"/>
    </row>
    <row r="182" spans="1:12" ht="12.75" customHeight="1" x14ac:dyDescent="0.15">
      <c r="A182" s="2"/>
      <c r="B182" s="2"/>
      <c r="C182" s="2"/>
      <c r="D182" s="43"/>
      <c r="E182" s="50"/>
      <c r="F182" s="50"/>
      <c r="G182" s="43"/>
      <c r="H182" s="50"/>
      <c r="I182" s="43"/>
      <c r="J182" s="43"/>
      <c r="K182" s="43"/>
      <c r="L182" s="43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tabSelected="1" workbookViewId="0">
      <selection activeCell="C32" sqref="C32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/>
      <c r="B9" s="65"/>
      <c r="C9" s="65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7"/>
      <c r="C10" s="5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7"/>
      <c r="C11" s="57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7"/>
      <c r="C12" s="5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7"/>
      <c r="C13" s="5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7"/>
      <c r="C14" s="5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7"/>
      <c r="C15" s="5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7"/>
      <c r="C16" s="5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7"/>
      <c r="C17" s="5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7"/>
      <c r="C18" s="5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7"/>
      <c r="C19" s="5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7"/>
      <c r="C20" s="5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7"/>
      <c r="C21" s="5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7"/>
      <c r="C22" s="5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7"/>
      <c r="C23" s="57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7"/>
      <c r="C24" s="57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7"/>
      <c r="C25" s="57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7"/>
      <c r="C26" s="5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7"/>
      <c r="C27" s="57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7"/>
      <c r="C28" s="57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7"/>
      <c r="C29" s="57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7"/>
      <c r="C30" s="57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7"/>
      <c r="C31" s="57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7"/>
      <c r="C32" s="57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7"/>
      <c r="C33" s="57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7"/>
      <c r="C34" s="5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7"/>
      <c r="C35" s="57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7"/>
      <c r="C36" s="57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7"/>
      <c r="C37" s="57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7"/>
      <c r="C38" s="57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7"/>
      <c r="C39" s="57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7"/>
      <c r="C40" s="57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7"/>
      <c r="C41" s="5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7"/>
      <c r="C42" s="57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7"/>
      <c r="C43" s="5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7"/>
      <c r="C44" s="57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7"/>
      <c r="C45" s="57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7"/>
      <c r="C46" s="57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7"/>
      <c r="C47" s="5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7"/>
      <c r="C48" s="57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7"/>
      <c r="C49" s="5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7"/>
      <c r="C50" s="57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7"/>
      <c r="C51" s="5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7"/>
      <c r="C52" s="57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7"/>
      <c r="C53" s="5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7"/>
      <c r="C54" s="57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7"/>
      <c r="C55" s="57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7"/>
      <c r="C56" s="57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7"/>
      <c r="C57" s="5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7"/>
      <c r="C58" s="5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7"/>
      <c r="C59" s="5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7"/>
      <c r="C60" s="5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2021-05-21T14:24:23Z</dcterms:modified>
</cp:coreProperties>
</file>