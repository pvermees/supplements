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Apatite Fission Track/"/>
    </mc:Choice>
  </mc:AlternateContent>
  <xr:revisionPtr revIDLastSave="0" documentId="13_ncr:1_{745A0B49-9F5C-7E44-B04A-ACE1EDCBCBDA}" xr6:coauthVersionLast="46" xr6:coauthVersionMax="46" xr10:uidLastSave="{00000000-0000-0000-0000-000000000000}"/>
  <bookViews>
    <workbookView xWindow="16140" yWindow="460" windowWidth="17460" windowHeight="20540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31" i="2" l="1"/>
  <c r="G32" i="2"/>
  <c r="A31" i="2"/>
  <c r="A32" i="2" s="1"/>
  <c r="G28" i="2"/>
  <c r="G29" i="2"/>
  <c r="G30" i="2"/>
  <c r="A29" i="2"/>
  <c r="A30" i="2" s="1"/>
  <c r="A28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<sst xmlns="http://schemas.openxmlformats.org/spreadsheetml/2006/main" count="197" uniqueCount="128">
  <si>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</si>
  <si>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</si>
  <si>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</si>
  <si>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</si>
  <si>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</si>
  <si>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</si>
  <si>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</si>
  <si>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</si>
  <si>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</si>
  <si>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</si>
  <si>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</si>
  <si>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</si>
  <si>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</si>
  <si>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</si>
  <si>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</si>
  <si>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</si>
  <si>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</si>
  <si>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</si>
  <si>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</si>
  <si>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</si>
  <si>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</si>
  <si>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</si>
  <si>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</si>
  <si>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</si>
  <si>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</si>
  <si>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</si>
  <si>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</si>
  <si>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</si>
  <si>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</si>
  <si>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</si>
  <si>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</si>
  <si>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</si>
  <si>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</si>
  <si>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</si>
  <si>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</si>
  <si>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</si>
  <si>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</si>
  <si>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</si>
  <si>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</si>
  <si>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</si>
  <si>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</si>
  <si>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</si>
  <si>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</si>
  <si>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</si>
  <si>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</si>
  <si>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</si>
  <si>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</si>
  <si>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</si>
  <si>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</si>
  <si>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</si>
  <si>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</si>
  <si>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</si>
  <si>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</si>
  <si>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</si>
  <si>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</si>
  <si>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</si>
  <si>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</si>
  <si>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</si>
  <si>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</si>
  <si>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</si>
  <si>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</si>
  <si>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</si>
  <si>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</si>
  <si>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</si>
  <si>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</si>
  <si>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</si>
  <si>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</si>
  <si>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</si>
  <si>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</si>
  <si>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</si>
  <si>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</si>
  <si>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</si>
  <si>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</si>
  <si>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</si>
  <si>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</si>
  <si>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</si>
  <si>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</si>
  <si>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</si>
  <si>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</si>
  <si>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</si>
  <si>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</si>
  <si>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</si>
  <si>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</si>
  <si>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</si>
  <si>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</si>
  <si>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</si>
  <si>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</si>
  <si>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</si>
  <si>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</si>
  <si>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</si>
  <si>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</si>
  <si>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</si>
  <si>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</si>
  <si>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</si>
  <si>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</si>
  <si>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</si>
  <si>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</si>
  <si>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</si>
  <si>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</si>
  <si>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</si>
  <si>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</si>
  <si>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</si>
  <si>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</si>
  <si>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</si>
  <si>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</si>
  <si>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</si>
  <si>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</si>
  <si>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</si>
  <si>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</si>
  <si>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</si>
  <si>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</si>
  <si>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</si>
  <si>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</si>
  <si>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</si>
  <si>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</si>
  <si>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</si>
  <si>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</si>
  <si>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</si>
  <si>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</si>
  <si>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</si>
  <si>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</si>
  <si>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</si>
  <si>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</si>
  <si>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</si>
  <si>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Tint</t>
  </si>
  <si>
    <t>77-7</t>
  </si>
  <si>
    <t>IERMT0012</t>
  </si>
  <si>
    <t>Tincle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</si>
</sst>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topLeftCell="A4" zoomScale="130" zoomScaleNormal="130" workbookViewId="0">
      <selection activeCell="B61" sqref="B61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125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126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15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22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1022999.9999999993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9089.4739316588821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69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39.200000000000003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3.6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3.6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16.18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21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75.932000000000002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39.299999999999997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2.9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2.9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39.200000000000003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3.6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3.6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0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00"/>
  <sheetViews>
    <sheetView topLeftCell="B1" zoomScale="140" zoomScaleNormal="140" workbookViewId="0">
      <selection activeCell="E37" sqref="E37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6</v>
      </c>
      <c r="C11" s="39">
        <v>19</v>
      </c>
      <c r="D11" s="48">
        <v>1.73325</v>
      </c>
      <c r="E11" s="54">
        <v>250000</v>
      </c>
      <c r="F11" s="54">
        <v>791666.66666666663</v>
      </c>
      <c r="G11" s="48">
        <f>E11/F11</f>
        <v>0.31578947368421056</v>
      </c>
      <c r="H11" s="54">
        <v>2.4000000000000001E-5</v>
      </c>
      <c r="I11" s="48">
        <v>11.608015640273713</v>
      </c>
      <c r="J11" s="48">
        <v>37.116697467938323</v>
      </c>
      <c r="K11" s="48">
        <v>17.568716107026482</v>
      </c>
      <c r="L11" s="48">
        <v>17.568716107026482</v>
      </c>
    </row>
    <row r="12" spans="1:12" ht="12.75" customHeight="1" x14ac:dyDescent="0.15">
      <c r="A12" s="42">
        <v>2</v>
      </c>
      <c r="B12" s="39">
        <v>11</v>
      </c>
      <c r="C12" s="39">
        <v>37</v>
      </c>
      <c r="D12" s="48">
        <v>1.6196170879457121</v>
      </c>
      <c r="E12" s="54">
        <v>916666.66666666663</v>
      </c>
      <c r="F12" s="54">
        <v>3083333.333333333</v>
      </c>
      <c r="G12" s="48">
        <f t="shared" ref="G12:G35" si="0">E12/F12</f>
        <v>0.29729729729729731</v>
      </c>
      <c r="H12" s="54">
        <v>1.2E-5</v>
      </c>
      <c r="I12" s="48">
        <v>45.210166177908135</v>
      </c>
      <c r="J12" s="48">
        <v>34.949077046896669</v>
      </c>
      <c r="K12" s="48">
        <v>12.241461899851018</v>
      </c>
      <c r="L12" s="48">
        <v>12.241461899851018</v>
      </c>
    </row>
    <row r="13" spans="1:12" ht="12.75" customHeight="1" x14ac:dyDescent="0.15">
      <c r="A13" s="42">
        <v>3</v>
      </c>
      <c r="B13" s="39">
        <v>12</v>
      </c>
      <c r="C13" s="39">
        <v>24</v>
      </c>
      <c r="D13" s="48">
        <v>1.77883206083597</v>
      </c>
      <c r="E13" s="54">
        <v>1090909.0909090908</v>
      </c>
      <c r="F13" s="54">
        <v>2181818.1818181816</v>
      </c>
      <c r="G13" s="48">
        <f t="shared" si="0"/>
        <v>0.5</v>
      </c>
      <c r="H13" s="54">
        <v>1.1E-5</v>
      </c>
      <c r="I13" s="48">
        <v>31.99146894161559</v>
      </c>
      <c r="J13" s="48">
        <v>58.669837250760736</v>
      </c>
      <c r="K13" s="48">
        <v>21.133354396997934</v>
      </c>
      <c r="L13" s="48">
        <v>21.133354396997934</v>
      </c>
    </row>
    <row r="14" spans="1:12" ht="12.75" customHeight="1" x14ac:dyDescent="0.15">
      <c r="A14" s="42">
        <v>4</v>
      </c>
      <c r="B14" s="39">
        <v>17</v>
      </c>
      <c r="C14" s="39">
        <v>56</v>
      </c>
      <c r="D14" s="48">
        <v>1.8951619919349501</v>
      </c>
      <c r="E14" s="54">
        <v>680000.00000000012</v>
      </c>
      <c r="F14" s="54">
        <v>2240000</v>
      </c>
      <c r="G14" s="48">
        <f t="shared" si="0"/>
        <v>0.3035714285714286</v>
      </c>
      <c r="H14" s="54">
        <v>2.4999999999999998E-5</v>
      </c>
      <c r="I14" s="48">
        <v>32.844574780058672</v>
      </c>
      <c r="J14" s="48">
        <v>35.68460137491298</v>
      </c>
      <c r="K14" s="48">
        <v>10.182974389890148</v>
      </c>
      <c r="L14" s="48">
        <v>10.182974389890148</v>
      </c>
    </row>
    <row r="15" spans="1:12" ht="12.75" customHeight="1" x14ac:dyDescent="0.15">
      <c r="A15" s="42">
        <v>5</v>
      </c>
      <c r="B15" s="39">
        <v>26</v>
      </c>
      <c r="C15" s="39">
        <v>64</v>
      </c>
      <c r="D15" s="48">
        <v>1.8228069767605928</v>
      </c>
      <c r="E15" s="54">
        <v>1300000</v>
      </c>
      <c r="F15" s="54">
        <v>3200000.0000000005</v>
      </c>
      <c r="G15" s="48">
        <f t="shared" si="0"/>
        <v>0.40624999999999994</v>
      </c>
      <c r="H15" s="54">
        <v>1.9999999999999998E-5</v>
      </c>
      <c r="I15" s="48">
        <v>46.920821114369538</v>
      </c>
      <c r="J15" s="48">
        <v>47.709832141633299</v>
      </c>
      <c r="K15" s="48">
        <v>11.572605728629775</v>
      </c>
      <c r="L15" s="48">
        <v>11.572605728629775</v>
      </c>
    </row>
    <row r="16" spans="1:12" ht="12.75" customHeight="1" x14ac:dyDescent="0.15">
      <c r="A16" s="42">
        <v>6</v>
      </c>
      <c r="B16" s="39">
        <v>5</v>
      </c>
      <c r="C16" s="39">
        <v>22</v>
      </c>
      <c r="D16" s="48">
        <v>1.62967783208919</v>
      </c>
      <c r="E16" s="54">
        <v>555555.5555555555</v>
      </c>
      <c r="F16" s="54">
        <v>2444444.4444444445</v>
      </c>
      <c r="G16" s="48">
        <f t="shared" si="0"/>
        <v>0.22727272727272724</v>
      </c>
      <c r="H16" s="54">
        <v>9.0000000000000002E-6</v>
      </c>
      <c r="I16" s="48">
        <v>35.842293906810056</v>
      </c>
      <c r="J16" s="48">
        <v>26.734309021343542</v>
      </c>
      <c r="K16" s="48">
        <v>13.372619686563388</v>
      </c>
      <c r="L16" s="48">
        <v>13.372619686563388</v>
      </c>
    </row>
    <row r="17" spans="1:12" ht="12.75" customHeight="1" x14ac:dyDescent="0.15">
      <c r="A17" s="42">
        <v>7</v>
      </c>
      <c r="B17" s="39">
        <v>4</v>
      </c>
      <c r="C17" s="39">
        <v>18</v>
      </c>
      <c r="D17" s="48">
        <v>1.8181824157566568</v>
      </c>
      <c r="E17" s="54">
        <v>666666.66666666663</v>
      </c>
      <c r="F17" s="54">
        <v>3000000</v>
      </c>
      <c r="G17" s="48">
        <f t="shared" si="0"/>
        <v>0.22222222222222221</v>
      </c>
      <c r="H17" s="54">
        <v>6.0000000000000002E-6</v>
      </c>
      <c r="I17" s="48">
        <v>43.98826979472144</v>
      </c>
      <c r="J17" s="48">
        <v>26.141416011401951</v>
      </c>
      <c r="K17" s="48">
        <v>14.562093972530162</v>
      </c>
      <c r="L17" s="48">
        <v>14.562093972530162</v>
      </c>
    </row>
    <row r="18" spans="1:12" ht="12.75" customHeight="1" x14ac:dyDescent="0.15">
      <c r="A18" s="42">
        <v>8</v>
      </c>
      <c r="B18" s="39">
        <v>17</v>
      </c>
      <c r="C18" s="39">
        <v>36</v>
      </c>
      <c r="D18" s="48">
        <v>1.752847233124015</v>
      </c>
      <c r="E18" s="54">
        <v>472222.22222222219</v>
      </c>
      <c r="F18" s="54">
        <v>1000000</v>
      </c>
      <c r="G18" s="48">
        <f t="shared" si="0"/>
        <v>0.47222222222222221</v>
      </c>
      <c r="H18" s="54">
        <v>3.6000000000000001E-5</v>
      </c>
      <c r="I18" s="48">
        <v>14.662756598240479</v>
      </c>
      <c r="J18" s="48">
        <v>55.424370194744569</v>
      </c>
      <c r="K18" s="48">
        <v>16.751664415316618</v>
      </c>
      <c r="L18" s="48">
        <v>16.751664415316618</v>
      </c>
    </row>
    <row r="19" spans="1:12" ht="12.75" customHeight="1" x14ac:dyDescent="0.15">
      <c r="A19" s="42">
        <v>9</v>
      </c>
      <c r="B19" s="39">
        <v>24</v>
      </c>
      <c r="C19" s="39">
        <v>71</v>
      </c>
      <c r="D19" s="48">
        <v>1.9094509110926585</v>
      </c>
      <c r="E19" s="54">
        <v>685714.2857142858</v>
      </c>
      <c r="F19" s="54">
        <v>2028571.4285714286</v>
      </c>
      <c r="G19" s="48">
        <f t="shared" si="0"/>
        <v>0.33802816901408456</v>
      </c>
      <c r="H19" s="54">
        <v>3.4999999999999997E-5</v>
      </c>
      <c r="I19" s="48">
        <v>29.744449099287831</v>
      </c>
      <c r="J19" s="48">
        <v>39.722513451003842</v>
      </c>
      <c r="K19" s="48">
        <v>9.7705349007758855</v>
      </c>
      <c r="L19" s="48">
        <v>9.7705349007758855</v>
      </c>
    </row>
    <row r="20" spans="1:12" ht="12.75" customHeight="1" x14ac:dyDescent="0.15">
      <c r="A20" s="42">
        <v>10</v>
      </c>
      <c r="B20" s="39">
        <v>12</v>
      </c>
      <c r="C20" s="39">
        <v>57</v>
      </c>
      <c r="D20" s="48">
        <v>1.7460708720384825</v>
      </c>
      <c r="E20" s="54">
        <v>444444.44444444444</v>
      </c>
      <c r="F20" s="54">
        <v>2111111.111111111</v>
      </c>
      <c r="G20" s="48">
        <f t="shared" si="0"/>
        <v>0.2105263157894737</v>
      </c>
      <c r="H20" s="54">
        <v>2.6999999999999999E-5</v>
      </c>
      <c r="I20" s="48">
        <v>30.95470837406323</v>
      </c>
      <c r="J20" s="48">
        <v>24.768191259114047</v>
      </c>
      <c r="K20" s="48">
        <v>8.0497427457460748</v>
      </c>
      <c r="L20" s="48">
        <v>8.0497427457460748</v>
      </c>
    </row>
    <row r="21" spans="1:12" ht="12.75" customHeight="1" x14ac:dyDescent="0.15">
      <c r="A21" s="42">
        <v>11</v>
      </c>
      <c r="B21" s="39">
        <v>6</v>
      </c>
      <c r="C21" s="39">
        <v>9</v>
      </c>
      <c r="D21" s="48">
        <v>1.521265605195105</v>
      </c>
      <c r="E21" s="54">
        <v>857142.85714285716</v>
      </c>
      <c r="F21" s="54">
        <v>1285714.2857142857</v>
      </c>
      <c r="G21" s="48">
        <f t="shared" si="0"/>
        <v>0.66666666666666674</v>
      </c>
      <c r="H21" s="54">
        <v>6.9999999999999999E-6</v>
      </c>
      <c r="I21" s="48">
        <v>18.852115626309185</v>
      </c>
      <c r="J21" s="48">
        <v>78.10840701962006</v>
      </c>
      <c r="K21" s="48">
        <v>41.51722306285717</v>
      </c>
      <c r="L21" s="48">
        <v>41.51722306285717</v>
      </c>
    </row>
    <row r="22" spans="1:12" ht="12.75" customHeight="1" x14ac:dyDescent="0.15">
      <c r="A22" s="42">
        <v>12</v>
      </c>
      <c r="B22" s="39">
        <v>6</v>
      </c>
      <c r="C22" s="39">
        <v>24</v>
      </c>
      <c r="D22" s="48"/>
      <c r="E22" s="54">
        <v>285714.28571428574</v>
      </c>
      <c r="F22" s="54">
        <v>1142857.142857143</v>
      </c>
      <c r="G22" s="48">
        <f t="shared" si="0"/>
        <v>0.25</v>
      </c>
      <c r="H22" s="54">
        <v>2.0999999999999999E-5</v>
      </c>
      <c r="I22" s="48">
        <v>16.757436112274835</v>
      </c>
      <c r="J22" s="48">
        <v>29.401653074441757</v>
      </c>
      <c r="K22" s="48">
        <v>13.572079977776932</v>
      </c>
      <c r="L22" s="48">
        <v>13.572079977776932</v>
      </c>
    </row>
    <row r="23" spans="1:12" ht="12.75" customHeight="1" x14ac:dyDescent="0.15">
      <c r="A23" s="42">
        <v>13</v>
      </c>
      <c r="B23" s="39">
        <v>10</v>
      </c>
      <c r="C23" s="39">
        <v>31</v>
      </c>
      <c r="D23" s="48">
        <v>1.928055636638766</v>
      </c>
      <c r="E23" s="54">
        <v>625000</v>
      </c>
      <c r="F23" s="54">
        <v>1937500</v>
      </c>
      <c r="G23" s="48">
        <f t="shared" si="0"/>
        <v>0.32258064516129031</v>
      </c>
      <c r="H23" s="54">
        <v>1.5999999999999999E-5</v>
      </c>
      <c r="I23" s="48">
        <v>28.409090909090928</v>
      </c>
      <c r="J23" s="48">
        <v>37.912563732342704</v>
      </c>
      <c r="K23" s="48">
        <v>14.033179978796879</v>
      </c>
      <c r="L23" s="48">
        <v>14.033179978796879</v>
      </c>
    </row>
    <row r="24" spans="1:12" ht="12.75" customHeight="1" x14ac:dyDescent="0.15">
      <c r="A24" s="42">
        <v>14</v>
      </c>
      <c r="B24" s="40">
        <v>43</v>
      </c>
      <c r="C24" s="40">
        <v>113</v>
      </c>
      <c r="D24" s="41">
        <v>1.80444194419572</v>
      </c>
      <c r="E24" s="55">
        <v>1720000.0000000002</v>
      </c>
      <c r="F24" s="55">
        <v>4520000</v>
      </c>
      <c r="G24" s="48">
        <f t="shared" si="0"/>
        <v>0.38053097345132747</v>
      </c>
      <c r="H24" s="54">
        <v>2.4999999999999998E-5</v>
      </c>
      <c r="I24" s="41">
        <v>66.275659824046969</v>
      </c>
      <c r="J24" s="41">
        <v>44.699845569608186</v>
      </c>
      <c r="K24" s="41">
        <v>8.5813567860929876</v>
      </c>
      <c r="L24" s="41">
        <v>8.5813567860929876</v>
      </c>
    </row>
    <row r="25" spans="1:12" ht="12.75" customHeight="1" x14ac:dyDescent="0.15">
      <c r="A25" s="42">
        <v>15</v>
      </c>
      <c r="B25" s="40">
        <v>14</v>
      </c>
      <c r="C25" s="40">
        <v>37</v>
      </c>
      <c r="D25" s="41"/>
      <c r="E25" s="55">
        <v>700000.00000000012</v>
      </c>
      <c r="F25" s="55">
        <v>1850000.0000000002</v>
      </c>
      <c r="G25" s="48">
        <f t="shared" si="0"/>
        <v>0.3783783783783784</v>
      </c>
      <c r="H25" s="54">
        <v>1.9999999999999998E-5</v>
      </c>
      <c r="I25" s="41">
        <v>27.126099706744892</v>
      </c>
      <c r="J25" s="41">
        <v>44.447856188994436</v>
      </c>
      <c r="K25" s="41">
        <v>14.279147599881092</v>
      </c>
      <c r="L25" s="41">
        <v>14.279147599881092</v>
      </c>
    </row>
    <row r="26" spans="1:12" ht="12.75" customHeight="1" x14ac:dyDescent="0.15">
      <c r="A26" s="42">
        <v>16</v>
      </c>
      <c r="B26" s="40">
        <v>34</v>
      </c>
      <c r="C26" s="40">
        <v>108</v>
      </c>
      <c r="D26" s="41"/>
      <c r="E26" s="55">
        <v>944444.44444444438</v>
      </c>
      <c r="F26" s="55">
        <v>3000000</v>
      </c>
      <c r="G26" s="48">
        <f t="shared" si="0"/>
        <v>0.31481481481481477</v>
      </c>
      <c r="H26" s="54">
        <v>3.6000000000000001E-5</v>
      </c>
      <c r="I26" s="41">
        <v>43.98826979472144</v>
      </c>
      <c r="J26" s="41">
        <v>37.00246785885583</v>
      </c>
      <c r="K26" s="41">
        <v>7.7104607344630969</v>
      </c>
      <c r="L26" s="41">
        <v>7.7104607344630969</v>
      </c>
    </row>
    <row r="27" spans="1:12" ht="12.75" customHeight="1" x14ac:dyDescent="0.15">
      <c r="A27" s="42">
        <v>17</v>
      </c>
      <c r="B27" s="40">
        <v>25</v>
      </c>
      <c r="C27" s="40">
        <v>78</v>
      </c>
      <c r="D27" s="41">
        <v>1.7876527945545582</v>
      </c>
      <c r="E27" s="55">
        <v>657894.7368421054</v>
      </c>
      <c r="F27" s="55">
        <v>2052631.5789473688</v>
      </c>
      <c r="G27" s="48">
        <f t="shared" si="0"/>
        <v>0.32051282051282054</v>
      </c>
      <c r="H27" s="54">
        <v>3.7999999999999995E-5</v>
      </c>
      <c r="I27" s="41">
        <v>30.097237227967305</v>
      </c>
      <c r="J27" s="41">
        <v>37.670243060539676</v>
      </c>
      <c r="K27" s="41">
        <v>9.038537762281436</v>
      </c>
      <c r="L27" s="41">
        <v>9.038537762281436</v>
      </c>
    </row>
    <row r="28" spans="1:12" ht="12.75" customHeight="1" x14ac:dyDescent="0.15">
      <c r="A28" s="42">
        <f>1+A27</f>
        <v>18</v>
      </c>
      <c r="B28" s="40">
        <v>41</v>
      </c>
      <c r="C28" s="40">
        <v>116</v>
      </c>
      <c r="D28" s="41">
        <v>1.7184829081167468</v>
      </c>
      <c r="E28" s="55">
        <v>1078947.3684210528</v>
      </c>
      <c r="F28" s="55">
        <v>3052631.578947369</v>
      </c>
      <c r="G28" s="48">
        <f t="shared" si="0"/>
        <v>0.35344827586206895</v>
      </c>
      <c r="H28" s="54">
        <v>3.7999999999999995E-5</v>
      </c>
      <c r="I28" s="41">
        <v>44.75999382620779</v>
      </c>
      <c r="J28" s="41">
        <v>41.528744183311112</v>
      </c>
      <c r="K28" s="41">
        <v>8.0699289402538454</v>
      </c>
      <c r="L28" s="41">
        <v>8.0699289402538454</v>
      </c>
    </row>
    <row r="29" spans="1:12" ht="12.75" customHeight="1" x14ac:dyDescent="0.15">
      <c r="A29" s="42">
        <f t="shared" ref="A29:A34" si="1">1+A28</f>
        <v>19</v>
      </c>
      <c r="B29" s="40">
        <v>27</v>
      </c>
      <c r="C29" s="40">
        <v>74</v>
      </c>
      <c r="D29" s="41">
        <v>1.8904935720101652</v>
      </c>
      <c r="E29" s="55">
        <v>1080000</v>
      </c>
      <c r="F29" s="55">
        <v>2960000.0000000005</v>
      </c>
      <c r="G29" s="48">
        <f t="shared" si="0"/>
        <v>0.3648648648648648</v>
      </c>
      <c r="H29" s="54">
        <v>2.4999999999999998E-5</v>
      </c>
      <c r="I29" s="41">
        <v>43.401759530791828</v>
      </c>
      <c r="J29" s="41">
        <v>42.865697831723452</v>
      </c>
      <c r="K29" s="41">
        <v>10.08031999930876</v>
      </c>
      <c r="L29" s="41">
        <v>10.08031999930876</v>
      </c>
    </row>
    <row r="30" spans="1:12" ht="12.75" customHeight="1" x14ac:dyDescent="0.15">
      <c r="A30" s="42">
        <f t="shared" si="1"/>
        <v>20</v>
      </c>
      <c r="B30" s="40">
        <v>26</v>
      </c>
      <c r="C30" s="40">
        <v>69</v>
      </c>
      <c r="D30" s="41">
        <v>1.7102585316261851</v>
      </c>
      <c r="E30" s="55">
        <v>1444444.4444444445</v>
      </c>
      <c r="F30" s="55">
        <v>3833333.333333333</v>
      </c>
      <c r="G30" s="48">
        <f t="shared" si="0"/>
        <v>0.37681159420289861</v>
      </c>
      <c r="H30" s="54">
        <v>1.8E-5</v>
      </c>
      <c r="I30" s="41">
        <v>56.207233626588497</v>
      </c>
      <c r="J30" s="41">
        <v>44.264437435347801</v>
      </c>
      <c r="K30" s="41">
        <v>10.633071001609393</v>
      </c>
      <c r="L30" s="41">
        <v>10.633071001609393</v>
      </c>
    </row>
    <row r="31" spans="1:12" ht="12.75" customHeight="1" x14ac:dyDescent="0.15">
      <c r="A31" s="42">
        <f t="shared" si="1"/>
        <v>21</v>
      </c>
      <c r="B31" s="40">
        <v>6</v>
      </c>
      <c r="C31" s="40">
        <v>27</v>
      </c>
      <c r="D31" s="41">
        <v>1.57887559330898</v>
      </c>
      <c r="E31" s="55">
        <v>461538.46153846156</v>
      </c>
      <c r="F31" s="55">
        <v>2076923.076923077</v>
      </c>
      <c r="G31" s="48">
        <f t="shared" si="0"/>
        <v>0.22222222222222224</v>
      </c>
      <c r="H31" s="54">
        <v>1.2999999999999999E-5</v>
      </c>
      <c r="I31" s="41">
        <v>30.453417550191766</v>
      </c>
      <c r="J31" s="41">
        <v>26.141416011401951</v>
      </c>
      <c r="K31" s="41">
        <v>11.935313612656209</v>
      </c>
      <c r="L31" s="41">
        <v>11.935313612656209</v>
      </c>
    </row>
    <row r="32" spans="1:12" ht="12.75" customHeight="1" x14ac:dyDescent="0.15">
      <c r="A32" s="42">
        <f t="shared" si="1"/>
        <v>22</v>
      </c>
      <c r="B32" s="40">
        <v>4</v>
      </c>
      <c r="C32" s="40">
        <v>36</v>
      </c>
      <c r="D32" s="41">
        <v>1.8731934488994899</v>
      </c>
      <c r="E32" s="55">
        <v>266666.66666666669</v>
      </c>
      <c r="F32" s="55">
        <v>2400000</v>
      </c>
      <c r="G32" s="48">
        <f t="shared" si="0"/>
        <v>0.11111111111111112</v>
      </c>
      <c r="H32" s="55">
        <v>1.4999999999999999E-5</v>
      </c>
      <c r="I32" s="41">
        <v>35.190615835777152</v>
      </c>
      <c r="J32" s="41">
        <v>13.083956902898491</v>
      </c>
      <c r="K32" s="41">
        <v>6.9545594131243469</v>
      </c>
      <c r="L32" s="41">
        <v>6.9545594131243469</v>
      </c>
    </row>
    <row r="33" spans="1:12" ht="12.75" customHeight="1" x14ac:dyDescent="0.15">
      <c r="A33" s="42"/>
      <c r="B33" s="40"/>
      <c r="C33" s="40"/>
      <c r="D33" s="41"/>
      <c r="E33" s="55"/>
      <c r="F33" s="55"/>
      <c r="G33" s="48"/>
      <c r="H33" s="54"/>
      <c r="I33" s="41"/>
      <c r="J33" s="41"/>
      <c r="K33" s="41"/>
      <c r="L33" s="41"/>
    </row>
    <row r="34" spans="1:12" ht="12.75" customHeight="1" x14ac:dyDescent="0.15">
      <c r="A34" s="42"/>
      <c r="B34" s="40"/>
      <c r="C34" s="40"/>
      <c r="D34" s="41"/>
      <c r="E34" s="55"/>
      <c r="F34" s="55"/>
      <c r="G34" s="48"/>
      <c r="H34" s="55"/>
      <c r="I34" s="41"/>
      <c r="J34" s="41"/>
      <c r="K34" s="41"/>
      <c r="L34" s="41"/>
    </row>
    <row r="35" spans="1:12" ht="12.75" customHeight="1" x14ac:dyDescent="0.15">
      <c r="A35" s="42"/>
      <c r="B35" s="40"/>
      <c r="C35" s="40"/>
      <c r="D35" s="41"/>
      <c r="E35" s="55"/>
      <c r="F35" s="55"/>
      <c r="G35" s="48"/>
      <c r="H35" s="55"/>
      <c r="I35" s="41"/>
      <c r="J35" s="41"/>
      <c r="K35" s="41"/>
      <c r="L35" s="41"/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40"/>
      <c r="B175" s="40"/>
      <c r="C175" s="40"/>
      <c r="D175" s="41"/>
      <c r="E175" s="55"/>
      <c r="F175" s="55"/>
      <c r="G175" s="41"/>
      <c r="H175" s="55"/>
      <c r="I175" s="41"/>
      <c r="J175" s="41"/>
      <c r="K175" s="41"/>
      <c r="L175" s="41"/>
    </row>
    <row r="176" spans="1:12" ht="12.75" customHeight="1" x14ac:dyDescent="0.15">
      <c r="A176" s="40"/>
      <c r="B176" s="40"/>
      <c r="C176" s="40"/>
      <c r="D176" s="41"/>
      <c r="E176" s="55"/>
      <c r="F176" s="55"/>
      <c r="G176" s="41"/>
      <c r="H176" s="55"/>
      <c r="I176" s="41"/>
      <c r="J176" s="41"/>
      <c r="K176" s="41"/>
      <c r="L176" s="41"/>
    </row>
    <row r="177" spans="1:12" ht="12.75" customHeight="1" x14ac:dyDescent="0.15">
      <c r="A177" s="40"/>
      <c r="B177" s="40"/>
      <c r="C177" s="40"/>
      <c r="D177" s="41"/>
      <c r="E177" s="55"/>
      <c r="F177" s="55"/>
      <c r="G177" s="41"/>
      <c r="H177" s="55"/>
      <c r="I177" s="41"/>
      <c r="J177" s="41"/>
      <c r="K177" s="41"/>
      <c r="L177" s="41"/>
    </row>
    <row r="178" spans="1:12" ht="12.75" customHeight="1" x14ac:dyDescent="0.15">
      <c r="A178" s="40"/>
      <c r="B178" s="40"/>
      <c r="C178" s="40"/>
      <c r="D178" s="41"/>
      <c r="E178" s="55"/>
      <c r="F178" s="55"/>
      <c r="G178" s="41"/>
      <c r="H178" s="55"/>
      <c r="I178" s="41"/>
      <c r="J178" s="41"/>
      <c r="K178" s="41"/>
      <c r="L178" s="41"/>
    </row>
    <row r="179" spans="1:12" ht="12.75" customHeight="1" x14ac:dyDescent="0.15">
      <c r="A179" s="40"/>
      <c r="B179" s="40"/>
      <c r="C179" s="40"/>
      <c r="D179" s="41"/>
      <c r="E179" s="55"/>
      <c r="F179" s="55"/>
      <c r="G179" s="41"/>
      <c r="H179" s="55"/>
      <c r="I179" s="41"/>
      <c r="J179" s="41"/>
      <c r="K179" s="41"/>
      <c r="L179" s="41"/>
    </row>
    <row r="180" spans="1:12" ht="12.75" customHeight="1" x14ac:dyDescent="0.15">
      <c r="A180" s="40"/>
      <c r="B180" s="40"/>
      <c r="C180" s="40"/>
      <c r="D180" s="41"/>
      <c r="E180" s="55"/>
      <c r="F180" s="55"/>
      <c r="G180" s="41"/>
      <c r="H180" s="55"/>
      <c r="I180" s="41"/>
      <c r="J180" s="41"/>
      <c r="K180" s="41"/>
      <c r="L180" s="41"/>
    </row>
    <row r="181" spans="1:12" ht="12.75" customHeight="1" x14ac:dyDescent="0.15">
      <c r="A181" s="40"/>
      <c r="B181" s="40"/>
      <c r="C181" s="40"/>
      <c r="D181" s="41"/>
      <c r="E181" s="55"/>
      <c r="F181" s="55"/>
      <c r="G181" s="41"/>
      <c r="H181" s="55"/>
      <c r="I181" s="41"/>
      <c r="J181" s="41"/>
      <c r="K181" s="41"/>
      <c r="L181" s="41"/>
    </row>
    <row r="182" spans="1:12" ht="12.75" customHeight="1" x14ac:dyDescent="0.15">
      <c r="A182" s="40"/>
      <c r="B182" s="40"/>
      <c r="C182" s="40"/>
      <c r="D182" s="41"/>
      <c r="E182" s="55"/>
      <c r="F182" s="55"/>
      <c r="G182" s="41"/>
      <c r="H182" s="55"/>
      <c r="I182" s="41"/>
      <c r="J182" s="41"/>
      <c r="K182" s="41"/>
      <c r="L182" s="41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  <row r="993" spans="1:12" ht="12.75" customHeight="1" x14ac:dyDescent="0.15">
      <c r="A993" s="2"/>
      <c r="B993" s="2"/>
      <c r="C993" s="2"/>
      <c r="D993" s="43"/>
      <c r="E993" s="50"/>
      <c r="F993" s="50"/>
      <c r="G993" s="43"/>
      <c r="H993" s="50"/>
      <c r="I993" s="43"/>
      <c r="J993" s="43"/>
      <c r="K993" s="43"/>
      <c r="L993" s="43"/>
    </row>
    <row r="994" spans="1:12" ht="12.75" customHeight="1" x14ac:dyDescent="0.15">
      <c r="A994" s="2"/>
      <c r="B994" s="2"/>
      <c r="C994" s="2"/>
      <c r="D994" s="43"/>
      <c r="E994" s="50"/>
      <c r="F994" s="50"/>
      <c r="G994" s="43"/>
      <c r="H994" s="50"/>
      <c r="I994" s="43"/>
      <c r="J994" s="43"/>
      <c r="K994" s="43"/>
      <c r="L994" s="43"/>
    </row>
    <row r="995" spans="1:12" ht="12.75" customHeight="1" x14ac:dyDescent="0.15">
      <c r="A995" s="2"/>
      <c r="B995" s="2"/>
      <c r="C995" s="2"/>
      <c r="D995" s="43"/>
      <c r="E995" s="50"/>
      <c r="F995" s="50"/>
      <c r="G995" s="43"/>
      <c r="H995" s="50"/>
      <c r="I995" s="43"/>
      <c r="J995" s="43"/>
      <c r="K995" s="43"/>
      <c r="L995" s="43"/>
    </row>
    <row r="996" spans="1:12" ht="12.75" customHeight="1" x14ac:dyDescent="0.15">
      <c r="A996" s="2"/>
      <c r="B996" s="2"/>
      <c r="C996" s="2"/>
      <c r="D996" s="43"/>
      <c r="E996" s="50"/>
      <c r="F996" s="50"/>
      <c r="G996" s="43"/>
      <c r="H996" s="50"/>
      <c r="I996" s="43"/>
      <c r="J996" s="43"/>
      <c r="K996" s="43"/>
      <c r="L996" s="43"/>
    </row>
    <row r="997" spans="1:12" ht="12.75" customHeight="1" x14ac:dyDescent="0.15">
      <c r="A997" s="2"/>
      <c r="B997" s="2"/>
      <c r="C997" s="2"/>
      <c r="D997" s="43"/>
      <c r="E997" s="50"/>
      <c r="F997" s="50"/>
      <c r="G997" s="43"/>
      <c r="H997" s="50"/>
      <c r="I997" s="43"/>
      <c r="J997" s="43"/>
      <c r="K997" s="43"/>
      <c r="L997" s="43"/>
    </row>
    <row r="998" spans="1:12" ht="12.75" customHeight="1" x14ac:dyDescent="0.15">
      <c r="A998" s="2"/>
      <c r="B998" s="2"/>
      <c r="C998" s="2"/>
      <c r="D998" s="43"/>
      <c r="E998" s="50"/>
      <c r="F998" s="50"/>
      <c r="G998" s="43"/>
      <c r="H998" s="50"/>
      <c r="I998" s="43"/>
      <c r="J998" s="43"/>
      <c r="K998" s="43"/>
      <c r="L998" s="43"/>
    </row>
    <row r="999" spans="1:12" ht="12.75" customHeight="1" x14ac:dyDescent="0.15">
      <c r="A999" s="2"/>
      <c r="B999" s="2"/>
      <c r="C999" s="2"/>
      <c r="D999" s="43"/>
      <c r="E999" s="50"/>
      <c r="F999" s="50"/>
      <c r="G999" s="43"/>
      <c r="H999" s="50"/>
      <c r="I999" s="43"/>
      <c r="J999" s="43"/>
      <c r="K999" s="43"/>
      <c r="L999" s="43"/>
    </row>
    <row r="1000" spans="1:12" ht="12.75" customHeight="1" x14ac:dyDescent="0.15">
      <c r="A1000" s="2"/>
      <c r="B1000" s="2"/>
      <c r="C1000" s="2"/>
      <c r="D1000" s="43"/>
      <c r="E1000" s="50"/>
      <c r="F1000" s="50"/>
      <c r="G1000" s="43"/>
      <c r="H1000" s="50"/>
      <c r="I1000" s="43"/>
      <c r="J1000" s="43"/>
      <c r="K1000" s="43"/>
      <c r="L1000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opLeftCell="A3" workbookViewId="0">
      <selection activeCell="D13" sqref="D13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>
        <v>5</v>
      </c>
      <c r="B9" s="65">
        <v>12.903950216650699</v>
      </c>
      <c r="C9" s="65">
        <v>64.300244119811694</v>
      </c>
      <c r="D9" s="24" t="s">
        <v>127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>
        <v>20</v>
      </c>
      <c r="B10" s="57">
        <v>12.409686256827699</v>
      </c>
      <c r="C10" s="57">
        <v>45.099767030526202</v>
      </c>
      <c r="D10" s="24" t="s">
        <v>124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2021-04-22T01:38:54Z</dcterms:modified>
</cp:coreProperties>
</file>