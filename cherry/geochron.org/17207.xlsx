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ACE74221-B58B-F741-9D79-BB0945B3D0E3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A28" i="2"/>
  <c r="A29" i="2"/>
  <c r="A30" i="2"/>
  <c r="A3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<sst xmlns="http://schemas.openxmlformats.org/spreadsheetml/2006/main" count="195" uniqueCount="126">
  <si>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</si>
  <si>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</si>
  <si>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</si>
  <si>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</si>
  <si>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</si>
  <si>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</si>
  <si>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</si>
  <si>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</si>
  <si>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</si>
  <si>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</si>
  <si>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</si>
  <si>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</si>
  <si>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</si>
  <si>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</si>
  <si>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</si>
  <si>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</si>
  <si>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</si>
  <si>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</si>
  <si>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</si>
  <si>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</si>
  <si>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</si>
  <si>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</si>
  <si>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</si>
  <si>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</si>
  <si>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</si>
  <si>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</si>
  <si>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</si>
  <si>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</si>
  <si>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</si>
  <si>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</si>
  <si>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</si>
  <si>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</si>
  <si>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</si>
  <si>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</si>
  <si>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</si>
  <si>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</si>
  <si>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</si>
  <si>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</si>
  <si>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</si>
  <si>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</si>
  <si>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</si>
  <si>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</si>
  <si>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</si>
  <si>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</si>
  <si>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</si>
  <si>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</si>
  <si>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</si>
  <si>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</si>
  <si>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</si>
  <si>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</si>
  <si>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</si>
  <si>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</si>
  <si>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</si>
  <si>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</si>
  <si>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</si>
  <si>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</si>
  <si>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</si>
  <si>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</si>
  <si>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</si>
  <si>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</si>
  <si>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</si>
  <si>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</si>
  <si>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</si>
  <si>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</si>
  <si>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</si>
  <si>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</si>
  <si>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</si>
  <si>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</si>
  <si>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</si>
  <si>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</si>
  <si>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</si>
  <si>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</si>
  <si>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</si>
  <si>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</si>
  <si>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</si>
  <si>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</si>
  <si>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</si>
  <si>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</si>
  <si>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</si>
  <si>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</si>
  <si>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</si>
  <si>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</si>
  <si>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</si>
  <si>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</si>
  <si>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</si>
  <si>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</si>
  <si>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</si>
  <si>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</si>
  <si>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</si>
  <si>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</si>
  <si>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</si>
  <si>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</si>
  <si>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</si>
  <si>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</si>
  <si>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</si>
  <si>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</si>
  <si>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</si>
  <si>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</si>
  <si>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</si>
  <si>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</si>
  <si>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</si>
  <si>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</si>
  <si>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</si>
  <si>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</si>
  <si>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</si>
  <si>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</si>
  <si>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</si>
  <si>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</si>
  <si>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</si>
  <si>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</si>
  <si>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</si>
  <si>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</si>
  <si>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</si>
  <si>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</si>
  <si>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</si>
  <si>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</si>
  <si>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</si>
  <si>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</si>
  <si>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</si>
  <si>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</si>
  <si>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</si>
  <si>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</si>
  <si>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</si>
  <si>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</si>
  <si>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77-13</t>
  </si>
  <si>
    <t>IERMT0018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</si>
</sst>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24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22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21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1002104.8951048949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8903.8184954483932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3.3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3.3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44.6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0.125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45.7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3.9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3.9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40.5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4.5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4.5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27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disablePrompts="1"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abSelected="1" zoomScale="140" zoomScaleNormal="140" workbookViewId="0">
      <selection activeCell="E40" sqref="E40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11</v>
      </c>
      <c r="C11" s="39">
        <v>21</v>
      </c>
      <c r="D11" s="48">
        <v>2.0113849426998698</v>
      </c>
      <c r="E11" s="54">
        <v>550000</v>
      </c>
      <c r="F11" s="54">
        <v>1050000</v>
      </c>
      <c r="G11" s="48">
        <f>E11/F11</f>
        <v>0.52380952380952384</v>
      </c>
      <c r="H11" s="54">
        <v>1.9999999999999998E-5</v>
      </c>
      <c r="I11" s="48">
        <v>15.716917537211886</v>
      </c>
      <c r="J11" s="48">
        <v>60.201064292695257</v>
      </c>
      <c r="K11" s="48">
        <v>22.787360136771284</v>
      </c>
      <c r="L11" s="48">
        <v>22.787360136771284</v>
      </c>
    </row>
    <row r="12" spans="1:12" ht="12.75" customHeight="1" x14ac:dyDescent="0.15">
      <c r="A12" s="42">
        <v>2</v>
      </c>
      <c r="B12" s="39">
        <v>13</v>
      </c>
      <c r="C12" s="39">
        <v>18</v>
      </c>
      <c r="D12" s="48"/>
      <c r="E12" s="54">
        <v>619047.61904761905</v>
      </c>
      <c r="F12" s="54">
        <v>857142.85714285716</v>
      </c>
      <c r="G12" s="48">
        <f t="shared" ref="G12:G31" si="0">E12/F12</f>
        <v>0.72222222222222221</v>
      </c>
      <c r="H12" s="54">
        <v>2.0999999999999999E-5</v>
      </c>
      <c r="I12" s="48">
        <v>12.830136765070929</v>
      </c>
      <c r="J12" s="48">
        <v>82.858510637526408</v>
      </c>
      <c r="K12" s="48">
        <v>30.694415437501146</v>
      </c>
      <c r="L12" s="48">
        <v>30.694415437501146</v>
      </c>
    </row>
    <row r="13" spans="1:12" ht="12.75" customHeight="1" x14ac:dyDescent="0.15">
      <c r="A13" s="42">
        <v>3</v>
      </c>
      <c r="B13" s="39">
        <v>8</v>
      </c>
      <c r="C13" s="39">
        <v>21</v>
      </c>
      <c r="D13" s="48">
        <v>1.7652863254161997</v>
      </c>
      <c r="E13" s="54">
        <v>320000</v>
      </c>
      <c r="F13" s="54">
        <v>840000.00000000012</v>
      </c>
      <c r="G13" s="48">
        <f t="shared" si="0"/>
        <v>0.38095238095238088</v>
      </c>
      <c r="H13" s="54">
        <v>2.4999999999999998E-5</v>
      </c>
      <c r="I13" s="48">
        <v>12.57353402976951</v>
      </c>
      <c r="J13" s="48">
        <v>43.838259566099467</v>
      </c>
      <c r="K13" s="48">
        <v>18.462568736010024</v>
      </c>
      <c r="L13" s="48">
        <v>18.462568736010024</v>
      </c>
    </row>
    <row r="14" spans="1:12" ht="12.75" customHeight="1" x14ac:dyDescent="0.15">
      <c r="A14" s="42">
        <v>4</v>
      </c>
      <c r="B14" s="39">
        <v>13</v>
      </c>
      <c r="C14" s="39">
        <v>35</v>
      </c>
      <c r="D14" s="48">
        <v>1.8039360486704268</v>
      </c>
      <c r="E14" s="54">
        <v>650000</v>
      </c>
      <c r="F14" s="54">
        <v>1750000.0000000002</v>
      </c>
      <c r="G14" s="48">
        <f t="shared" si="0"/>
        <v>0.37142857142857139</v>
      </c>
      <c r="H14" s="54">
        <v>1.9999999999999998E-5</v>
      </c>
      <c r="I14" s="48">
        <v>26.194862562019814</v>
      </c>
      <c r="J14" s="48">
        <v>42.745927996471877</v>
      </c>
      <c r="K14" s="48">
        <v>14.192963075186981</v>
      </c>
      <c r="L14" s="48">
        <v>14.192963075186981</v>
      </c>
    </row>
    <row r="15" spans="1:12" ht="12.75" customHeight="1" x14ac:dyDescent="0.15">
      <c r="A15" s="42">
        <v>5</v>
      </c>
      <c r="B15" s="39">
        <v>15</v>
      </c>
      <c r="C15" s="39">
        <v>24</v>
      </c>
      <c r="D15" s="48"/>
      <c r="E15" s="54">
        <v>1250000</v>
      </c>
      <c r="F15" s="54">
        <v>2000000</v>
      </c>
      <c r="G15" s="48">
        <f t="shared" si="0"/>
        <v>0.625</v>
      </c>
      <c r="H15" s="54">
        <v>1.2E-5</v>
      </c>
      <c r="I15" s="48">
        <v>29.936985785165497</v>
      </c>
      <c r="J15" s="48">
        <v>71.766310473835716</v>
      </c>
      <c r="K15" s="48">
        <v>24.133469974642054</v>
      </c>
      <c r="L15" s="48">
        <v>24.133469974642054</v>
      </c>
    </row>
    <row r="16" spans="1:12" ht="12.75" customHeight="1" x14ac:dyDescent="0.15">
      <c r="A16" s="42">
        <v>6</v>
      </c>
      <c r="B16" s="39">
        <v>13</v>
      </c>
      <c r="C16" s="39">
        <v>25</v>
      </c>
      <c r="D16" s="48"/>
      <c r="E16" s="54">
        <v>1083333.3333333333</v>
      </c>
      <c r="F16" s="54">
        <v>2083333.3333333333</v>
      </c>
      <c r="G16" s="48">
        <f t="shared" si="0"/>
        <v>0.52</v>
      </c>
      <c r="H16" s="54">
        <v>1.2E-5</v>
      </c>
      <c r="I16" s="48">
        <v>31.184360192880728</v>
      </c>
      <c r="J16" s="48">
        <v>59.765261326098475</v>
      </c>
      <c r="K16" s="48">
        <v>20.847113401318865</v>
      </c>
      <c r="L16" s="48">
        <v>20.847113401318865</v>
      </c>
    </row>
    <row r="17" spans="1:12" ht="12.75" customHeight="1" x14ac:dyDescent="0.15">
      <c r="A17" s="42">
        <v>7</v>
      </c>
      <c r="B17" s="39">
        <v>21</v>
      </c>
      <c r="C17" s="39">
        <v>101</v>
      </c>
      <c r="D17" s="48"/>
      <c r="E17" s="54">
        <v>677419.3548387097</v>
      </c>
      <c r="F17" s="54">
        <v>3258064.5161290322</v>
      </c>
      <c r="G17" s="48">
        <f t="shared" si="0"/>
        <v>0.20792079207920794</v>
      </c>
      <c r="H17" s="54">
        <v>3.1000000000000001E-5</v>
      </c>
      <c r="I17" s="48">
        <v>48.768315553253473</v>
      </c>
      <c r="J17" s="48">
        <v>23.963513347236962</v>
      </c>
      <c r="K17" s="48">
        <v>5.9798430210607547</v>
      </c>
      <c r="L17" s="48">
        <v>5.9798430210607547</v>
      </c>
    </row>
    <row r="18" spans="1:12" ht="12.75" customHeight="1" x14ac:dyDescent="0.15">
      <c r="A18" s="42">
        <v>8</v>
      </c>
      <c r="B18" s="39">
        <v>27</v>
      </c>
      <c r="C18" s="39">
        <v>82</v>
      </c>
      <c r="D18" s="48">
        <v>1.6940960091606225</v>
      </c>
      <c r="E18" s="54">
        <v>1125000</v>
      </c>
      <c r="F18" s="54">
        <v>3416666.6666666665</v>
      </c>
      <c r="G18" s="48">
        <f t="shared" si="0"/>
        <v>0.32926829268292684</v>
      </c>
      <c r="H18" s="54">
        <v>2.4000000000000001E-5</v>
      </c>
      <c r="I18" s="48">
        <v>51.142350716324394</v>
      </c>
      <c r="J18" s="48">
        <v>37.908138445537276</v>
      </c>
      <c r="K18" s="48">
        <v>8.8075936326339246</v>
      </c>
      <c r="L18" s="48">
        <v>8.8075936326339246</v>
      </c>
    </row>
    <row r="19" spans="1:12" ht="12.75" customHeight="1" x14ac:dyDescent="0.15">
      <c r="A19" s="42">
        <v>9</v>
      </c>
      <c r="B19" s="39">
        <v>9</v>
      </c>
      <c r="C19" s="39">
        <v>18</v>
      </c>
      <c r="D19" s="48">
        <v>1.7943574462885974</v>
      </c>
      <c r="E19" s="54">
        <v>750000</v>
      </c>
      <c r="F19" s="54">
        <v>1500000</v>
      </c>
      <c r="G19" s="48">
        <f t="shared" si="0"/>
        <v>0.5</v>
      </c>
      <c r="H19" s="54">
        <v>1.2E-5</v>
      </c>
      <c r="I19" s="48">
        <v>22.452739338874125</v>
      </c>
      <c r="J19" s="48">
        <v>57.476812343239715</v>
      </c>
      <c r="K19" s="48">
        <v>23.796829451336116</v>
      </c>
      <c r="L19" s="48">
        <v>23.796829451336116</v>
      </c>
    </row>
    <row r="20" spans="1:12" ht="12.75" customHeight="1" x14ac:dyDescent="0.15">
      <c r="A20" s="42">
        <v>10</v>
      </c>
      <c r="B20" s="39">
        <v>40</v>
      </c>
      <c r="C20" s="39">
        <v>183</v>
      </c>
      <c r="D20" s="48">
        <v>1.74822589194972</v>
      </c>
      <c r="E20" s="54">
        <v>1142857.142857143</v>
      </c>
      <c r="F20" s="54">
        <v>5228571.4285714291</v>
      </c>
      <c r="G20" s="48">
        <f t="shared" si="0"/>
        <v>0.21857923497267759</v>
      </c>
      <c r="H20" s="54">
        <v>3.4999999999999997E-5</v>
      </c>
      <c r="I20" s="48">
        <v>78.263834266932662</v>
      </c>
      <c r="J20" s="48">
        <v>25.189535197992143</v>
      </c>
      <c r="K20" s="48">
        <v>4.7269424783972607</v>
      </c>
      <c r="L20" s="48">
        <v>4.7269424783972607</v>
      </c>
    </row>
    <row r="21" spans="1:12" ht="12.75" customHeight="1" x14ac:dyDescent="0.15">
      <c r="A21" s="42">
        <v>11</v>
      </c>
      <c r="B21" s="39">
        <v>10</v>
      </c>
      <c r="C21" s="39">
        <v>42</v>
      </c>
      <c r="D21" s="48">
        <v>1.7015936710680499</v>
      </c>
      <c r="E21" s="54">
        <v>666666.66666666674</v>
      </c>
      <c r="F21" s="54">
        <v>2800000.0000000005</v>
      </c>
      <c r="G21" s="48">
        <f t="shared" si="0"/>
        <v>0.23809523809523808</v>
      </c>
      <c r="H21" s="54">
        <v>1.4999999999999999E-5</v>
      </c>
      <c r="I21" s="48">
        <v>41.911780099231706</v>
      </c>
      <c r="J21" s="48">
        <v>27.433822471713402</v>
      </c>
      <c r="K21" s="48">
        <v>9.8364484332861188</v>
      </c>
      <c r="L21" s="48">
        <v>9.8364484332861188</v>
      </c>
    </row>
    <row r="22" spans="1:12" ht="12.75" customHeight="1" x14ac:dyDescent="0.15">
      <c r="A22" s="42">
        <v>12</v>
      </c>
      <c r="B22" s="39">
        <v>21</v>
      </c>
      <c r="C22" s="39">
        <v>43</v>
      </c>
      <c r="D22" s="48">
        <v>1.57682310742239</v>
      </c>
      <c r="E22" s="54">
        <v>1400000.0000000002</v>
      </c>
      <c r="F22" s="54">
        <v>2866666.666666667</v>
      </c>
      <c r="G22" s="48">
        <f t="shared" si="0"/>
        <v>0.48837209302325585</v>
      </c>
      <c r="H22" s="54">
        <v>1.4999999999999999E-5</v>
      </c>
      <c r="I22" s="48">
        <v>42.909679625403889</v>
      </c>
      <c r="J22" s="48">
        <v>56.145945251286967</v>
      </c>
      <c r="K22" s="48">
        <v>15.440112838946375</v>
      </c>
      <c r="L22" s="48">
        <v>15.440112838946375</v>
      </c>
    </row>
    <row r="23" spans="1:12" ht="12.75" customHeight="1" x14ac:dyDescent="0.15">
      <c r="A23" s="42">
        <v>13</v>
      </c>
      <c r="B23" s="39">
        <v>12</v>
      </c>
      <c r="C23" s="39">
        <v>65</v>
      </c>
      <c r="D23" s="48"/>
      <c r="E23" s="54">
        <v>600000</v>
      </c>
      <c r="F23" s="54">
        <v>3250000.0000000005</v>
      </c>
      <c r="G23" s="48">
        <f t="shared" si="0"/>
        <v>0.1846153846153846</v>
      </c>
      <c r="H23" s="54">
        <v>1.9999999999999998E-5</v>
      </c>
      <c r="I23" s="48">
        <v>48.647601900893939</v>
      </c>
      <c r="J23" s="48">
        <v>21.281921032075267</v>
      </c>
      <c r="K23" s="48">
        <v>6.845632534755036</v>
      </c>
      <c r="L23" s="48">
        <v>6.845632534755036</v>
      </c>
    </row>
    <row r="24" spans="1:12" ht="12.75" customHeight="1" x14ac:dyDescent="0.15">
      <c r="A24" s="42">
        <v>14</v>
      </c>
      <c r="B24" s="40">
        <v>25</v>
      </c>
      <c r="C24" s="40">
        <v>75</v>
      </c>
      <c r="D24" s="41">
        <v>1.8009209502350563</v>
      </c>
      <c r="E24" s="55">
        <v>833333.33333333337</v>
      </c>
      <c r="F24" s="55">
        <v>2500000</v>
      </c>
      <c r="G24" s="48">
        <f t="shared" si="0"/>
        <v>0.33333333333333337</v>
      </c>
      <c r="H24" s="54">
        <v>2.9999999999999997E-5</v>
      </c>
      <c r="I24" s="41">
        <v>37.421232231456869</v>
      </c>
      <c r="J24" s="41">
        <v>38.374750141833012</v>
      </c>
      <c r="K24" s="41">
        <v>9.2484943333618617</v>
      </c>
      <c r="L24" s="41">
        <v>9.2484943333618617</v>
      </c>
    </row>
    <row r="25" spans="1:12" ht="12.75" customHeight="1" x14ac:dyDescent="0.15">
      <c r="A25" s="42">
        <v>15</v>
      </c>
      <c r="B25" s="40">
        <v>34</v>
      </c>
      <c r="C25" s="40">
        <v>94</v>
      </c>
      <c r="D25" s="41">
        <v>1.635743328859145</v>
      </c>
      <c r="E25" s="55">
        <v>1888888.8888888888</v>
      </c>
      <c r="F25" s="55">
        <v>5222222.222222222</v>
      </c>
      <c r="G25" s="48">
        <f t="shared" si="0"/>
        <v>0.36170212765957444</v>
      </c>
      <c r="H25" s="54">
        <v>1.8E-5</v>
      </c>
      <c r="I25" s="41">
        <v>78.168796216821022</v>
      </c>
      <c r="J25" s="41">
        <v>41.630164285123541</v>
      </c>
      <c r="K25" s="41">
        <v>8.8114434113264704</v>
      </c>
      <c r="L25" s="41">
        <v>8.8114434113264704</v>
      </c>
    </row>
    <row r="26" spans="1:12" ht="12.75" customHeight="1" x14ac:dyDescent="0.15">
      <c r="A26" s="42">
        <v>16</v>
      </c>
      <c r="B26" s="40">
        <v>12</v>
      </c>
      <c r="C26" s="40">
        <v>24</v>
      </c>
      <c r="D26" s="41"/>
      <c r="E26" s="55">
        <v>666666.66666666663</v>
      </c>
      <c r="F26" s="55">
        <v>1333333.3333333333</v>
      </c>
      <c r="G26" s="48">
        <f t="shared" si="0"/>
        <v>0.5</v>
      </c>
      <c r="H26" s="54">
        <v>1.8E-5</v>
      </c>
      <c r="I26" s="41">
        <v>19.957990523443666</v>
      </c>
      <c r="J26" s="41">
        <v>57.476812343239715</v>
      </c>
      <c r="K26" s="41">
        <v>20.70361708466611</v>
      </c>
      <c r="L26" s="41">
        <v>20.70361708466611</v>
      </c>
    </row>
    <row r="27" spans="1:12" ht="12.75" customHeight="1" x14ac:dyDescent="0.15">
      <c r="A27" s="42">
        <v>17</v>
      </c>
      <c r="B27" s="40">
        <v>17</v>
      </c>
      <c r="C27" s="40">
        <v>49</v>
      </c>
      <c r="D27" s="41">
        <v>1.6733917519821759</v>
      </c>
      <c r="E27" s="55">
        <v>944444.44444444438</v>
      </c>
      <c r="F27" s="55">
        <v>2722222.222222222</v>
      </c>
      <c r="G27" s="48">
        <f t="shared" si="0"/>
        <v>0.34693877551020408</v>
      </c>
      <c r="H27" s="54">
        <v>1.8E-5</v>
      </c>
      <c r="I27" s="41">
        <v>40.747563985364145</v>
      </c>
      <c r="J27" s="41">
        <v>39.936225312577577</v>
      </c>
      <c r="K27" s="41">
        <v>11.573350974422333</v>
      </c>
      <c r="L27" s="41">
        <v>11.573350974422333</v>
      </c>
    </row>
    <row r="28" spans="1:12" ht="12.75" customHeight="1" x14ac:dyDescent="0.15">
      <c r="A28" s="42">
        <f>A27+1</f>
        <v>18</v>
      </c>
      <c r="B28" s="40">
        <v>10</v>
      </c>
      <c r="C28" s="40">
        <v>30</v>
      </c>
      <c r="D28" s="41">
        <v>1.701473724045145</v>
      </c>
      <c r="E28" s="55">
        <v>333333.33333333337</v>
      </c>
      <c r="F28" s="55">
        <v>1000000.0000000001</v>
      </c>
      <c r="G28" s="48">
        <f t="shared" si="0"/>
        <v>0.33333333333333331</v>
      </c>
      <c r="H28" s="55">
        <v>2.9999999999999997E-5</v>
      </c>
      <c r="I28" s="41">
        <v>14.96849289258275</v>
      </c>
      <c r="J28" s="41">
        <v>38.374750141833012</v>
      </c>
      <c r="K28" s="41">
        <v>14.259886511121868</v>
      </c>
      <c r="L28" s="41">
        <v>14.259886511121868</v>
      </c>
    </row>
    <row r="29" spans="1:12" ht="12.75" customHeight="1" x14ac:dyDescent="0.15">
      <c r="A29" s="42">
        <f t="shared" ref="A29:A31" si="1">A28+1</f>
        <v>19</v>
      </c>
      <c r="B29" s="40">
        <v>25</v>
      </c>
      <c r="C29" s="40">
        <v>133</v>
      </c>
      <c r="D29" s="41">
        <v>1.8796428616914185</v>
      </c>
      <c r="E29" s="55">
        <v>833333.33333333337</v>
      </c>
      <c r="F29" s="55">
        <v>4433333.333333334</v>
      </c>
      <c r="G29" s="48">
        <f t="shared" si="0"/>
        <v>0.18796992481203006</v>
      </c>
      <c r="H29" s="54">
        <v>2.9999999999999997E-5</v>
      </c>
      <c r="I29" s="41">
        <v>66.360318490450197</v>
      </c>
      <c r="J29" s="41">
        <v>21.66797353104284</v>
      </c>
      <c r="K29" s="41">
        <v>4.9538086160687804</v>
      </c>
      <c r="L29" s="41">
        <v>4.9538086160687804</v>
      </c>
    </row>
    <row r="30" spans="1:12" ht="12.75" customHeight="1" x14ac:dyDescent="0.15">
      <c r="A30" s="42">
        <f t="shared" si="1"/>
        <v>20</v>
      </c>
      <c r="B30" s="40">
        <v>22</v>
      </c>
      <c r="C30" s="40">
        <v>34</v>
      </c>
      <c r="D30" s="41">
        <v>1.6028754426547431</v>
      </c>
      <c r="E30" s="55">
        <v>1833333.3333333333</v>
      </c>
      <c r="F30" s="55">
        <v>2833333.3333333335</v>
      </c>
      <c r="G30" s="48">
        <f t="shared" si="0"/>
        <v>0.64705882352941169</v>
      </c>
      <c r="H30" s="55">
        <v>1.2E-5</v>
      </c>
      <c r="I30" s="41">
        <v>42.410729862317787</v>
      </c>
      <c r="J30" s="41">
        <v>74.284702371681007</v>
      </c>
      <c r="K30" s="41">
        <v>20.960430474528973</v>
      </c>
      <c r="L30" s="41">
        <v>20.960430474528973</v>
      </c>
    </row>
    <row r="31" spans="1:12" ht="12.75" customHeight="1" x14ac:dyDescent="0.15">
      <c r="A31" s="42">
        <f t="shared" si="1"/>
        <v>21</v>
      </c>
      <c r="B31" s="40">
        <v>45</v>
      </c>
      <c r="C31" s="40">
        <v>136</v>
      </c>
      <c r="D31" s="41">
        <v>1.7782280812011244</v>
      </c>
      <c r="E31" s="55">
        <v>642857.14285714296</v>
      </c>
      <c r="F31" s="55">
        <v>1942857.142857143</v>
      </c>
      <c r="G31" s="48">
        <f t="shared" si="0"/>
        <v>0.33088235294117652</v>
      </c>
      <c r="H31" s="55">
        <v>6.9999999999999994E-5</v>
      </c>
      <c r="I31" s="41">
        <v>29.081643334160773</v>
      </c>
      <c r="J31" s="41">
        <v>38.093414778979856</v>
      </c>
      <c r="K31" s="41">
        <v>7.0575785099937196</v>
      </c>
      <c r="L31" s="41">
        <v>7.0575785099937196</v>
      </c>
    </row>
    <row r="32" spans="1:12" ht="12.75" customHeight="1" x14ac:dyDescent="0.15">
      <c r="A32" s="40"/>
      <c r="B32" s="40"/>
      <c r="C32" s="40"/>
      <c r="D32" s="41"/>
      <c r="E32" s="55"/>
      <c r="F32" s="55"/>
      <c r="G32" s="41"/>
      <c r="H32" s="55"/>
      <c r="I32" s="41"/>
      <c r="J32" s="41"/>
      <c r="K32" s="41"/>
      <c r="L32" s="41"/>
    </row>
    <row r="33" spans="1:12" ht="12.75" customHeight="1" x14ac:dyDescent="0.15">
      <c r="A33" s="40"/>
      <c r="B33" s="40"/>
      <c r="C33" s="40"/>
      <c r="D33" s="41"/>
      <c r="E33" s="55"/>
      <c r="F33" s="55"/>
      <c r="G33" s="41"/>
      <c r="H33" s="55"/>
      <c r="I33" s="41"/>
      <c r="J33" s="41"/>
      <c r="K33" s="41"/>
      <c r="L33" s="41"/>
    </row>
    <row r="34" spans="1:12" ht="12.75" customHeight="1" x14ac:dyDescent="0.15">
      <c r="A34" s="40"/>
      <c r="B34" s="40"/>
      <c r="C34" s="40"/>
      <c r="D34" s="41"/>
      <c r="E34" s="55"/>
      <c r="F34" s="55"/>
      <c r="G34" s="41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1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32" sqref="C3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2021-05-21T14:12:41Z</dcterms:modified>
</cp:coreProperties>
</file>