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CF92C36D-0731-6644-9863-9423809DE96C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A29" i="2"/>
  <c r="A30" i="2" s="1"/>
  <c r="A31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<sst xmlns="http://schemas.openxmlformats.org/spreadsheetml/2006/main" count="195" uniqueCount="126">
  <si>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</si>
  <si>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</si>
  <si>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</si>
  <si>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</si>
  <si>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</si>
  <si>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</si>
  <si>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</si>
  <si>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</si>
  <si>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</si>
  <si>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</si>
  <si>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</si>
  <si>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</si>
  <si>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</si>
  <si>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</si>
  <si>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</si>
  <si>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</si>
  <si>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</si>
  <si>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</si>
  <si>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</si>
  <si>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</si>
  <si>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</si>
  <si>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</si>
  <si>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</si>
  <si>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</si>
  <si>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</si>
  <si>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</si>
  <si>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</si>
  <si>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</si>
  <si>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</si>
  <si>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</si>
  <si>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</si>
  <si>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</si>
  <si>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</si>
  <si>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</si>
  <si>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</si>
  <si>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</si>
  <si>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</si>
  <si>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</si>
  <si>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</si>
  <si>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</si>
  <si>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</si>
  <si>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</si>
  <si>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</si>
  <si>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</si>
  <si>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</si>
  <si>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</si>
  <si>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</si>
  <si>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</si>
  <si>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</si>
  <si>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</si>
  <si>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</si>
  <si>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</si>
  <si>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</si>
  <si>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</si>
  <si>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</si>
  <si>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</si>
  <si>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</si>
  <si>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</si>
  <si>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</si>
  <si>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</si>
  <si>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</si>
  <si>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</si>
  <si>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</si>
  <si>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</si>
  <si>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</si>
  <si>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</si>
  <si>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</si>
  <si>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</si>
  <si>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</si>
  <si>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</si>
  <si>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</si>
  <si>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</si>
  <si>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</si>
  <si>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</si>
  <si>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</si>
  <si>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</si>
  <si>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</si>
  <si>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</si>
  <si>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</si>
  <si>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</si>
  <si>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</si>
  <si>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</si>
  <si>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</si>
  <si>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</si>
  <si>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</si>
  <si>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</si>
  <si>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</si>
  <si>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</si>
  <si>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</si>
  <si>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</si>
  <si>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</si>
  <si>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</si>
  <si>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</si>
  <si>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</si>
  <si>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</si>
  <si>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</si>
  <si>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</si>
  <si>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</si>
  <si>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</si>
  <si>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</si>
  <si>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</si>
  <si>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</si>
  <si>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</si>
  <si>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</si>
  <si>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</si>
  <si>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</si>
  <si>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</si>
  <si>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</si>
  <si>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</si>
  <si>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</si>
  <si>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</si>
  <si>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</si>
  <si>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</si>
  <si>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</si>
  <si>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</si>
  <si>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</si>
  <si>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</si>
  <si>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</si>
  <si>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</si>
  <si>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</si>
  <si>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</si>
  <si>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</si>
  <si>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</si>
  <si>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</si>
  <si>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70-19</t>
  </si>
  <si>
    <t>IERMT0009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</si>
</sst>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35" zoomScale="130" zoomScaleNormal="130" workbookViewId="0">
      <selection activeCell="B70" sqref="B70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11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21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1003181.8181818177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8913.3870821874807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16.100000000000001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1.7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1.7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45.41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9.7000000000000003E-2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19.3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2.1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2.1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17.8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2.2999999999999998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2.2999999999999998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35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F1" zoomScale="140" zoomScaleNormal="140" workbookViewId="0">
      <selection activeCell="H29" sqref="H2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15</v>
      </c>
      <c r="C11" s="39">
        <v>75</v>
      </c>
      <c r="D11" s="48">
        <v>1.737693780991026</v>
      </c>
      <c r="E11" s="54">
        <v>600000</v>
      </c>
      <c r="F11" s="54">
        <v>3000000.0000000005</v>
      </c>
      <c r="G11" s="48">
        <f>E11/F11</f>
        <v>0.19999999999999996</v>
      </c>
      <c r="H11" s="54">
        <v>2.4999999999999998E-5</v>
      </c>
      <c r="I11" s="48">
        <v>44.857272315360248</v>
      </c>
      <c r="J11" s="48">
        <v>23.076976674463619</v>
      </c>
      <c r="K11" s="48">
        <v>6.7181324894137635</v>
      </c>
      <c r="L11" s="48">
        <v>6.7181324894137635</v>
      </c>
    </row>
    <row r="12" spans="1:12" ht="12.75" customHeight="1" x14ac:dyDescent="0.15">
      <c r="A12" s="42">
        <v>2</v>
      </c>
      <c r="B12" s="39">
        <v>23</v>
      </c>
      <c r="C12" s="39">
        <v>270</v>
      </c>
      <c r="D12" s="48">
        <v>1.5540725856295998</v>
      </c>
      <c r="E12" s="54">
        <v>383333.33333333337</v>
      </c>
      <c r="F12" s="54">
        <v>4500000</v>
      </c>
      <c r="G12" s="48">
        <f t="shared" ref="G12:G31" si="0">E12/F12</f>
        <v>8.5185185185185197E-2</v>
      </c>
      <c r="H12" s="54">
        <v>5.9999999999999995E-5</v>
      </c>
      <c r="I12" s="48">
        <v>67.285908473040365</v>
      </c>
      <c r="J12" s="48">
        <v>9.8391825832222342</v>
      </c>
      <c r="K12" s="48">
        <v>2.242208885119811</v>
      </c>
      <c r="L12" s="48">
        <v>2.242208885119811</v>
      </c>
    </row>
    <row r="13" spans="1:12" ht="12.75" customHeight="1" x14ac:dyDescent="0.15">
      <c r="A13" s="42">
        <v>3</v>
      </c>
      <c r="B13" s="39">
        <v>5</v>
      </c>
      <c r="C13" s="39">
        <v>98</v>
      </c>
      <c r="D13" s="48"/>
      <c r="E13" s="54">
        <v>142857.14285714287</v>
      </c>
      <c r="F13" s="54">
        <v>2800000.0000000005</v>
      </c>
      <c r="G13" s="48">
        <f t="shared" si="0"/>
        <v>5.10204081632653E-2</v>
      </c>
      <c r="H13" s="54">
        <v>3.4999999999999997E-5</v>
      </c>
      <c r="I13" s="48">
        <v>41.866787494336229</v>
      </c>
      <c r="J13" s="48">
        <v>5.8948362740010207</v>
      </c>
      <c r="K13" s="48">
        <v>2.7330307396531301</v>
      </c>
      <c r="L13" s="48">
        <v>2.7330307396531301</v>
      </c>
    </row>
    <row r="14" spans="1:12" ht="12.75" customHeight="1" x14ac:dyDescent="0.15">
      <c r="A14" s="42">
        <v>4</v>
      </c>
      <c r="B14" s="39">
        <v>2</v>
      </c>
      <c r="C14" s="39">
        <v>25</v>
      </c>
      <c r="D14" s="48">
        <v>1.67830159846196</v>
      </c>
      <c r="E14" s="54">
        <v>222222.22222222222</v>
      </c>
      <c r="F14" s="54">
        <v>2777777.7777777775</v>
      </c>
      <c r="G14" s="48">
        <f t="shared" si="0"/>
        <v>0.08</v>
      </c>
      <c r="H14" s="54">
        <v>9.0000000000000002E-6</v>
      </c>
      <c r="I14" s="48">
        <v>41.534511403111331</v>
      </c>
      <c r="J14" s="48">
        <v>9.2407047922488825</v>
      </c>
      <c r="K14" s="48">
        <v>6.8203032432592812</v>
      </c>
      <c r="L14" s="48">
        <v>6.8203032432592812</v>
      </c>
    </row>
    <row r="15" spans="1:12" ht="12.75" customHeight="1" x14ac:dyDescent="0.15">
      <c r="A15" s="42">
        <v>5</v>
      </c>
      <c r="B15" s="39">
        <v>12</v>
      </c>
      <c r="C15" s="39">
        <v>45</v>
      </c>
      <c r="D15" s="48">
        <v>1.6698981368723476</v>
      </c>
      <c r="E15" s="54">
        <v>800000.00000000012</v>
      </c>
      <c r="F15" s="54">
        <v>3000000.0000000005</v>
      </c>
      <c r="G15" s="48">
        <f t="shared" si="0"/>
        <v>0.26666666666666666</v>
      </c>
      <c r="H15" s="54">
        <v>1.4999999999999999E-5</v>
      </c>
      <c r="I15" s="48">
        <v>44.857272315360248</v>
      </c>
      <c r="J15" s="48">
        <v>30.750983544593524</v>
      </c>
      <c r="K15" s="48">
        <v>10.213099200466333</v>
      </c>
      <c r="L15" s="48">
        <v>10.213099200466333</v>
      </c>
    </row>
    <row r="16" spans="1:12" ht="12.75" customHeight="1" x14ac:dyDescent="0.15">
      <c r="A16" s="42">
        <v>6</v>
      </c>
      <c r="B16" s="39">
        <v>6</v>
      </c>
      <c r="C16" s="39">
        <v>43</v>
      </c>
      <c r="D16" s="48">
        <v>1.875297898464402</v>
      </c>
      <c r="E16" s="54">
        <v>333333.33333333331</v>
      </c>
      <c r="F16" s="54">
        <v>2388888.888888889</v>
      </c>
      <c r="G16" s="48">
        <f t="shared" si="0"/>
        <v>0.13953488372093023</v>
      </c>
      <c r="H16" s="54">
        <v>1.8E-5</v>
      </c>
      <c r="I16" s="48">
        <v>35.719679806675749</v>
      </c>
      <c r="J16" s="48">
        <v>16.108923159312432</v>
      </c>
      <c r="K16" s="48">
        <v>7.1075300452801429</v>
      </c>
      <c r="L16" s="48">
        <v>7.1075300452801429</v>
      </c>
    </row>
    <row r="17" spans="1:12" ht="12.75" customHeight="1" x14ac:dyDescent="0.15">
      <c r="A17" s="42">
        <v>7</v>
      </c>
      <c r="B17" s="39">
        <v>4</v>
      </c>
      <c r="C17" s="39">
        <v>20</v>
      </c>
      <c r="D17" s="48">
        <v>1.4575835184216901</v>
      </c>
      <c r="E17" s="54">
        <v>266666.66666666669</v>
      </c>
      <c r="F17" s="54">
        <v>1333333.3333333335</v>
      </c>
      <c r="G17" s="48">
        <f t="shared" si="0"/>
        <v>0.19999999999999998</v>
      </c>
      <c r="H17" s="54">
        <v>1.4999999999999999E-5</v>
      </c>
      <c r="I17" s="48">
        <v>19.936565473493445</v>
      </c>
      <c r="J17" s="48">
        <v>23.076976674463619</v>
      </c>
      <c r="K17" s="48">
        <v>12.739450996049206</v>
      </c>
      <c r="L17" s="48">
        <v>12.739450996049206</v>
      </c>
    </row>
    <row r="18" spans="1:12" ht="12.75" customHeight="1" x14ac:dyDescent="0.15">
      <c r="A18" s="42">
        <v>8</v>
      </c>
      <c r="B18" s="39">
        <v>16</v>
      </c>
      <c r="C18" s="39">
        <v>46</v>
      </c>
      <c r="D18" s="48">
        <v>1.5329955036312433</v>
      </c>
      <c r="E18" s="54">
        <v>571428.57142857148</v>
      </c>
      <c r="F18" s="54">
        <v>1642857.142857143</v>
      </c>
      <c r="G18" s="48">
        <f t="shared" si="0"/>
        <v>0.34782608695652173</v>
      </c>
      <c r="H18" s="54">
        <v>2.8E-5</v>
      </c>
      <c r="I18" s="48">
        <v>24.56469674412585</v>
      </c>
      <c r="J18" s="48">
        <v>40.080941380294455</v>
      </c>
      <c r="K18" s="48">
        <v>11.956558805380112</v>
      </c>
      <c r="L18" s="48">
        <v>11.956558805380112</v>
      </c>
    </row>
    <row r="19" spans="1:12" ht="12.75" customHeight="1" x14ac:dyDescent="0.15">
      <c r="A19" s="42">
        <v>9</v>
      </c>
      <c r="B19" s="39">
        <v>8</v>
      </c>
      <c r="C19" s="39">
        <v>52</v>
      </c>
      <c r="D19" s="48">
        <v>1.6862649877512499</v>
      </c>
      <c r="E19" s="54">
        <v>320000</v>
      </c>
      <c r="F19" s="54">
        <v>2080000.0000000002</v>
      </c>
      <c r="G19" s="48">
        <f t="shared" si="0"/>
        <v>0.15384615384615383</v>
      </c>
      <c r="H19" s="54">
        <v>2.4999999999999998E-5</v>
      </c>
      <c r="I19" s="48">
        <v>31.10104213864977</v>
      </c>
      <c r="J19" s="48">
        <v>17.758846993481768</v>
      </c>
      <c r="K19" s="48">
        <v>6.8545627697068356</v>
      </c>
      <c r="L19" s="48">
        <v>6.8545627697068356</v>
      </c>
    </row>
    <row r="20" spans="1:12" ht="12.75" customHeight="1" x14ac:dyDescent="0.15">
      <c r="A20" s="42">
        <v>10</v>
      </c>
      <c r="B20" s="39">
        <v>10</v>
      </c>
      <c r="C20" s="39">
        <v>92</v>
      </c>
      <c r="D20" s="48">
        <v>1.6184850203101182</v>
      </c>
      <c r="E20" s="54">
        <v>500000.00000000006</v>
      </c>
      <c r="F20" s="54">
        <v>4600000</v>
      </c>
      <c r="G20" s="48">
        <f t="shared" si="0"/>
        <v>0.10869565217391305</v>
      </c>
      <c r="H20" s="54">
        <v>1.9999999999999998E-5</v>
      </c>
      <c r="I20" s="48">
        <v>68.781150883552371</v>
      </c>
      <c r="J20" s="48">
        <v>12.552080762909993</v>
      </c>
      <c r="K20" s="48">
        <v>4.2680671555802503</v>
      </c>
      <c r="L20" s="48">
        <v>4.2680671555802503</v>
      </c>
    </row>
    <row r="21" spans="1:12" ht="12.75" customHeight="1" x14ac:dyDescent="0.15">
      <c r="A21" s="42">
        <v>11</v>
      </c>
      <c r="B21" s="39">
        <v>6</v>
      </c>
      <c r="C21" s="39">
        <v>27</v>
      </c>
      <c r="D21" s="48"/>
      <c r="E21" s="54">
        <v>250000</v>
      </c>
      <c r="F21" s="54">
        <v>1125000</v>
      </c>
      <c r="G21" s="48">
        <f t="shared" si="0"/>
        <v>0.22222222222222221</v>
      </c>
      <c r="H21" s="54">
        <v>2.4000000000000001E-5</v>
      </c>
      <c r="I21" s="48">
        <v>16.821477118260091</v>
      </c>
      <c r="J21" s="48">
        <v>25.63599397625628</v>
      </c>
      <c r="K21" s="48">
        <v>11.704554479578665</v>
      </c>
      <c r="L21" s="48">
        <v>11.704554479578665</v>
      </c>
    </row>
    <row r="22" spans="1:12" ht="12.75" customHeight="1" x14ac:dyDescent="0.15">
      <c r="A22" s="42">
        <v>12</v>
      </c>
      <c r="B22" s="39">
        <v>8</v>
      </c>
      <c r="C22" s="39">
        <v>28</v>
      </c>
      <c r="D22" s="48">
        <v>1.7809652106610074</v>
      </c>
      <c r="E22" s="54">
        <v>285714.28571428574</v>
      </c>
      <c r="F22" s="54">
        <v>1000000</v>
      </c>
      <c r="G22" s="48">
        <f t="shared" si="0"/>
        <v>0.28571428571428575</v>
      </c>
      <c r="H22" s="54">
        <v>2.8E-5</v>
      </c>
      <c r="I22" s="48">
        <v>14.95242410512008</v>
      </c>
      <c r="J22" s="48">
        <v>32.941880326607901</v>
      </c>
      <c r="K22" s="48">
        <v>13.399864816597812</v>
      </c>
      <c r="L22" s="48">
        <v>13.399864816597812</v>
      </c>
    </row>
    <row r="23" spans="1:12" ht="12.75" customHeight="1" x14ac:dyDescent="0.15">
      <c r="A23" s="42">
        <v>13</v>
      </c>
      <c r="B23" s="39">
        <v>18</v>
      </c>
      <c r="C23" s="39">
        <v>171</v>
      </c>
      <c r="D23" s="48">
        <v>1.715635035088743</v>
      </c>
      <c r="E23" s="54">
        <v>268656.71641791041</v>
      </c>
      <c r="F23" s="54">
        <v>2552238.8059701491</v>
      </c>
      <c r="G23" s="48">
        <f t="shared" si="0"/>
        <v>0.10526315789473684</v>
      </c>
      <c r="H23" s="54">
        <v>6.7000000000000002E-5</v>
      </c>
      <c r="I23" s="48">
        <v>38.162157044410954</v>
      </c>
      <c r="J23" s="48">
        <v>12.156072696783204</v>
      </c>
      <c r="K23" s="48">
        <v>3.1265794871504462</v>
      </c>
      <c r="L23" s="48">
        <v>3.1265794871504462</v>
      </c>
    </row>
    <row r="24" spans="1:12" ht="12.75" customHeight="1" x14ac:dyDescent="0.15">
      <c r="A24" s="42">
        <v>14</v>
      </c>
      <c r="B24" s="40">
        <v>8</v>
      </c>
      <c r="C24" s="40">
        <v>63</v>
      </c>
      <c r="D24" s="41">
        <v>1.6006073421361</v>
      </c>
      <c r="E24" s="55">
        <v>444444.44444444444</v>
      </c>
      <c r="F24" s="55">
        <v>3500000</v>
      </c>
      <c r="G24" s="48">
        <f t="shared" si="0"/>
        <v>0.12698412698412698</v>
      </c>
      <c r="H24" s="54">
        <v>1.8E-5</v>
      </c>
      <c r="I24" s="41">
        <v>52.333484367920285</v>
      </c>
      <c r="J24" s="41">
        <v>14.661618558660514</v>
      </c>
      <c r="K24" s="41">
        <v>5.5949577412718412</v>
      </c>
      <c r="L24" s="41">
        <v>5.5949577412718412</v>
      </c>
    </row>
    <row r="25" spans="1:12" ht="12.75" customHeight="1" x14ac:dyDescent="0.15">
      <c r="A25" s="42">
        <v>15</v>
      </c>
      <c r="B25" s="40">
        <v>5</v>
      </c>
      <c r="C25" s="40">
        <v>45</v>
      </c>
      <c r="D25" s="41">
        <v>1.5229243554566052</v>
      </c>
      <c r="E25" s="55">
        <v>166666.66666666669</v>
      </c>
      <c r="F25" s="55">
        <v>1500000.0000000002</v>
      </c>
      <c r="G25" s="48">
        <f t="shared" si="0"/>
        <v>0.1111111111111111</v>
      </c>
      <c r="H25" s="54">
        <v>2.9999999999999997E-5</v>
      </c>
      <c r="I25" s="41">
        <v>22.428636157680124</v>
      </c>
      <c r="J25" s="41">
        <v>12.830738525913192</v>
      </c>
      <c r="K25" s="41">
        <v>6.1127683048681662</v>
      </c>
      <c r="L25" s="41">
        <v>6.1127683048681662</v>
      </c>
    </row>
    <row r="26" spans="1:12" ht="12.75" customHeight="1" x14ac:dyDescent="0.15">
      <c r="A26" s="42">
        <v>16</v>
      </c>
      <c r="B26" s="40">
        <v>7</v>
      </c>
      <c r="C26" s="40">
        <v>71</v>
      </c>
      <c r="D26" s="41">
        <v>1.7828938515484298</v>
      </c>
      <c r="E26" s="55">
        <v>466666.66666666669</v>
      </c>
      <c r="F26" s="55">
        <v>4733333.333333334</v>
      </c>
      <c r="G26" s="48">
        <f t="shared" si="0"/>
        <v>9.8591549295774641E-2</v>
      </c>
      <c r="H26" s="54">
        <v>1.4999999999999999E-5</v>
      </c>
      <c r="I26" s="41">
        <v>70.774807430901731</v>
      </c>
      <c r="J26" s="41">
        <v>11.386297288890262</v>
      </c>
      <c r="K26" s="41">
        <v>4.5785315391842891</v>
      </c>
      <c r="L26" s="41">
        <v>4.5785315391842891</v>
      </c>
    </row>
    <row r="27" spans="1:12" ht="12.75" customHeight="1" x14ac:dyDescent="0.15">
      <c r="A27" s="42">
        <v>17</v>
      </c>
      <c r="B27" s="40">
        <v>12</v>
      </c>
      <c r="C27" s="40">
        <v>81</v>
      </c>
      <c r="D27" s="41"/>
      <c r="E27" s="55">
        <v>342857.1428571429</v>
      </c>
      <c r="F27" s="55">
        <v>2314285.7142857146</v>
      </c>
      <c r="G27" s="48">
        <f t="shared" si="0"/>
        <v>0.14814814814814814</v>
      </c>
      <c r="H27" s="54">
        <v>3.4999999999999997E-5</v>
      </c>
      <c r="I27" s="41">
        <v>34.604181500420758</v>
      </c>
      <c r="J27" s="41">
        <v>17.10198346102186</v>
      </c>
      <c r="K27" s="41">
        <v>5.4197082566746948</v>
      </c>
      <c r="L27" s="41">
        <v>5.4197082566746948</v>
      </c>
    </row>
    <row r="28" spans="1:12" ht="12.75" customHeight="1" x14ac:dyDescent="0.15">
      <c r="A28" s="42">
        <f>1+A27</f>
        <v>18</v>
      </c>
      <c r="B28" s="40">
        <v>3</v>
      </c>
      <c r="C28" s="40">
        <v>29</v>
      </c>
      <c r="D28" s="41"/>
      <c r="E28" s="55">
        <v>300000</v>
      </c>
      <c r="F28" s="55">
        <v>2900000.0000000005</v>
      </c>
      <c r="G28" s="48">
        <f t="shared" si="0"/>
        <v>0.10344827586206895</v>
      </c>
      <c r="H28" s="54">
        <v>9.9999999999999991E-6</v>
      </c>
      <c r="I28" s="41">
        <v>43.362029904848242</v>
      </c>
      <c r="J28" s="41">
        <v>11.946679291010168</v>
      </c>
      <c r="K28" s="41">
        <v>7.2920363149684615</v>
      </c>
      <c r="L28" s="41">
        <v>7.2920363149684615</v>
      </c>
    </row>
    <row r="29" spans="1:12" ht="12.75" customHeight="1" x14ac:dyDescent="0.15">
      <c r="A29" s="42">
        <f t="shared" ref="A29:A31" si="1">1+A28</f>
        <v>19</v>
      </c>
      <c r="B29" s="40">
        <v>14</v>
      </c>
      <c r="C29" s="40">
        <v>40</v>
      </c>
      <c r="D29" s="41"/>
      <c r="E29" s="55">
        <v>875000</v>
      </c>
      <c r="F29" s="55">
        <v>2500000</v>
      </c>
      <c r="G29" s="48">
        <f t="shared" si="0"/>
        <v>0.35</v>
      </c>
      <c r="H29" s="54">
        <v>1.5999999999999999E-5</v>
      </c>
      <c r="I29" s="41">
        <v>37.381060262800204</v>
      </c>
      <c r="J29" s="41">
        <v>40.330665396986355</v>
      </c>
      <c r="K29" s="41">
        <v>12.828606715277715</v>
      </c>
      <c r="L29" s="41">
        <v>12.828606715277715</v>
      </c>
    </row>
    <row r="30" spans="1:12" ht="12.75" customHeight="1" x14ac:dyDescent="0.15">
      <c r="A30" s="42">
        <f t="shared" si="1"/>
        <v>20</v>
      </c>
      <c r="B30" s="40">
        <v>9</v>
      </c>
      <c r="C30" s="40">
        <v>52</v>
      </c>
      <c r="D30" s="41"/>
      <c r="E30" s="55">
        <v>500000</v>
      </c>
      <c r="F30" s="55">
        <v>2888888.888888889</v>
      </c>
      <c r="G30" s="48">
        <f t="shared" si="0"/>
        <v>0.17307692307692307</v>
      </c>
      <c r="H30" s="54">
        <v>1.8E-5</v>
      </c>
      <c r="I30" s="41">
        <v>43.195891859235793</v>
      </c>
      <c r="J30" s="41">
        <v>19.975267480699483</v>
      </c>
      <c r="K30" s="41">
        <v>7.3418769468661518</v>
      </c>
      <c r="L30" s="41">
        <v>7.3418769468661518</v>
      </c>
    </row>
    <row r="31" spans="1:12" ht="12.75" customHeight="1" x14ac:dyDescent="0.15">
      <c r="A31" s="42">
        <f t="shared" si="1"/>
        <v>21</v>
      </c>
      <c r="B31" s="40">
        <v>7</v>
      </c>
      <c r="C31" s="40">
        <v>45</v>
      </c>
      <c r="D31" s="41">
        <v>1.55878519579873</v>
      </c>
      <c r="E31" s="55">
        <v>250000</v>
      </c>
      <c r="F31" s="55">
        <v>1607142.8571428573</v>
      </c>
      <c r="G31" s="48">
        <f t="shared" si="0"/>
        <v>0.15555555555555553</v>
      </c>
      <c r="H31" s="54">
        <v>2.8E-5</v>
      </c>
      <c r="I31" s="41">
        <v>24.030681597514416</v>
      </c>
      <c r="J31" s="41">
        <v>17.955893004343697</v>
      </c>
      <c r="K31" s="41">
        <v>7.3996861839822836</v>
      </c>
      <c r="L31" s="41">
        <v>7.3996861839822836</v>
      </c>
    </row>
    <row r="32" spans="1:12" ht="12.75" customHeight="1" x14ac:dyDescent="0.15">
      <c r="A32" s="42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2021-04-22T01:19:54Z</dcterms:modified>
</cp:coreProperties>
</file>