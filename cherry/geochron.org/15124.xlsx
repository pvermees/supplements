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7D3A4C99-41B8-9546-8255-62E0D606E98E}" xr6:coauthVersionLast="45" xr6:coauthVersionMax="45" xr10:uidLastSave="{00000000-0000-0000-0000-000000000000}"/>
  <bookViews>
    <workbookView xWindow="0" yWindow="460" windowWidth="21720" windowHeight="1258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3" l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11" i="3"/>
</calcChain>
</file>

<file path=xl/sharedStrings.xml><?xml version="1.0" encoding="utf-8"?>
<sst xmlns="http://schemas.openxmlformats.org/spreadsheetml/2006/main" count="484" uniqueCount="221">
  <si>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</si>
  <si>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</si>
  <si>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</si>
  <si>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</si>
  <si>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</si>
  <si>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</si>
  <si>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</si>
  <si>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</si>
  <si>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</si>
  <si>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</si>
  <si>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</si>
  <si>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</si>
  <si>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</si>
  <si>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</si>
  <si>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</si>
  <si>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</si>
  <si>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</si>
  <si>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</si>
  <si>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</si>
  <si>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</si>
  <si>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</si>
  <si>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</si>
  <si>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</si>
  <si>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</si>
  <si>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</si>
  <si>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</si>
  <si>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</si>
  <si>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</si>
  <si>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</si>
  <si>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</si>
  <si>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</si>
  <si>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</si>
  <si>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</si>
  <si>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</si>
  <si>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</si>
  <si>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</si>
  <si>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</si>
  <si>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</si>
  <si>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</si>
  <si>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</si>
  <si>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</si>
  <si>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</si>
  <si>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</si>
  <si>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</si>
  <si>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</si>
  <si>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</si>
  <si>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</si>
  <si>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</si>
  <si>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</si>
  <si>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</si>
  <si>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</si>
  <si>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</si>
  <si>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</si>
  <si>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</si>
  <si>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</si>
  <si>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</si>
  <si>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</si>
  <si>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</si>
  <si>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</si>
  <si>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</si>
  <si>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</si>
  <si>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</si>
  <si>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</si>
  <si>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</si>
  <si>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</si>
  <si>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</si>
  <si>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</si>
  <si>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</si>
  <si>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</si>
  <si>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</si>
  <si>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</si>
  <si>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</si>
  <si>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</si>
  <si>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</si>
  <si>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</si>
  <si>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</si>
  <si>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</si>
  <si>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</si>
  <si>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</si>
  <si>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</si>
  <si>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</si>
  <si>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</si>
  <si>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</si>
  <si>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</si>
  <si>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</si>
  <si>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</si>
  <si>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</si>
  <si>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</si>
  <si>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</si>
  <si>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</si>
  <si>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</si>
  <si>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</si>
  <si>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</si>
  <si>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</si>
  <si>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</si>
  <si>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</si>
  <si>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</si>
  <si>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</si>
  <si>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</si>
  <si>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</si>
  <si>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</si>
  <si>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</si>
  <si>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</si>
  <si>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</si>
  <si>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</si>
  <si>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</si>
  <si>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</si>
  <si>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</si>
  <si>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</si>
  <si>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</si>
  <si>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</si>
  <si>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</si>
  <si>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</si>
  <si>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</si>
  <si>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</si>
  <si>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</si>
  <si>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</si>
  <si>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</si>
  <si>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</si>
  <si>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</si>
  <si>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</si>
  <si>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</si>
  <si>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</si>
  <si>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</si>
  <si>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</si>
  <si>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</si>
  <si>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</si>
  <si>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</si>
  <si>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</si>
  <si>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</si>
  <si>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</si>
  <si>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</si>
  <si>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</si>
  <si>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</si>
  <si>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</si>
  <si>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</si>
  <si>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</si>
  <si>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</si>
  <si>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</si>
  <si>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</si>
  <si>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</si>
  <si>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</si>
  <si>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</si>
  <si>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</si>
  <si>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</si>
  <si>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</si>
  <si>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</si>
  <si>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</si>
  <si>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</si>
  <si>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</si>
  <si>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</si>
  <si>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</si>
  <si>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</si>
  <si>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</si>
  <si>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</si>
  <si>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</si>
  <si>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</si>
  <si>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</si>
  <si>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</si>
  <si>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</si>
  <si>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</si>
  <si>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</si>
  <si>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</si>
  <si>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</si>
  <si>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</si>
  <si>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</si>
  <si>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</si>
  <si>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</si>
  <si>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</si>
  <si>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</si>
  <si>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</si>
  <si>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</si>
  <si>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</si>
  <si>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</si>
  <si>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</si>
  <si>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</si>
  <si>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</si>
  <si>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</si>
  <si>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</si>
  <si>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</si>
  <si>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</si>
  <si>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</si>
  <si>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</si>
  <si>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</si>
  <si>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</si>
  <si>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</si>
  <si>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</si>
  <si>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</si>
  <si>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</si>
  <si>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</si>
  <si>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</si>
  <si>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</t>
  </si>
  <si>
    <t>Gwladys Govin</t>
  </si>
  <si>
    <t>zircon</t>
  </si>
  <si>
    <t>counted squares</t>
  </si>
  <si>
    <t>cm-2</t>
  </si>
  <si>
    <t>cm2</t>
  </si>
  <si>
    <t>U error (2s)</t>
  </si>
  <si>
    <t>0.5</t>
  </si>
  <si>
    <t>NaOH-KOH</t>
  </si>
  <si>
    <t>calculated from Ni and fluence calibration</t>
  </si>
  <si>
    <t>228°C</t>
  </si>
  <si>
    <t>IRMM541</t>
  </si>
  <si>
    <t>50</t>
  </si>
  <si>
    <t xml:space="preserve">sedimentary </t>
  </si>
  <si>
    <t>Olympus BH2, Kinetek stage FT-Stage 4.04</t>
  </si>
  <si>
    <t>1250x</t>
  </si>
  <si>
    <t>FRM II Munich</t>
  </si>
  <si>
    <t>0.00000083 cm2</t>
  </si>
  <si>
    <t xml:space="preserve"> (multi-mount technique)</t>
  </si>
  <si>
    <t>Remi section</t>
  </si>
  <si>
    <t>1.2</t>
  </si>
  <si>
    <t>450000</t>
  </si>
  <si>
    <t>36</t>
  </si>
  <si>
    <t>Age Error +1s</t>
  </si>
  <si>
    <t>Age Error -1s</t>
  </si>
  <si>
    <t>105</t>
  </si>
  <si>
    <t>3.68</t>
  </si>
  <si>
    <t>6.1 ± 0.5 Ma</t>
  </si>
  <si>
    <t>IEPVB0007</t>
  </si>
  <si>
    <t>REM21_ZFT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</si>
</sst>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8" workbookViewId="0">
      <selection activeCell="B15" sqref="B1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193</v>
      </c>
      <c r="C12" s="3" t="s">
        <v>11</v>
      </c>
      <c r="Q12" s="14"/>
    </row>
    <row r="13" spans="1:17" x14ac:dyDescent="0.15">
      <c r="A13" s="14" t="s">
        <v>21</v>
      </c>
      <c r="B13" s="48" t="s">
        <v>202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203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210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204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218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205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206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207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208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213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216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212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211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198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199</v>
      </c>
      <c r="C33" s="3" t="s">
        <v>11</v>
      </c>
      <c r="E33" s="5"/>
    </row>
    <row r="34" spans="1:5" x14ac:dyDescent="0.15">
      <c r="A34" s="3" t="s">
        <v>47</v>
      </c>
      <c r="B34" s="48" t="s">
        <v>201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workbookViewId="0"/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3.83203125" style="21" customWidth="1"/>
    <col min="7" max="7" width="16.6640625" style="21" customWidth="1"/>
    <col min="8" max="8" width="16.1640625" style="21" customWidth="1"/>
    <col min="9" max="9" width="10" style="21"/>
    <col min="10" max="10" width="12.1640625" style="21" customWidth="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194</v>
      </c>
      <c r="H9" s="29" t="s">
        <v>150</v>
      </c>
      <c r="I9" s="30" t="s">
        <v>151</v>
      </c>
      <c r="J9" s="28" t="s">
        <v>197</v>
      </c>
      <c r="K9" s="28" t="s">
        <v>152</v>
      </c>
      <c r="L9" s="71" t="s">
        <v>214</v>
      </c>
      <c r="M9" s="71" t="s">
        <v>215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195</v>
      </c>
      <c r="E10" s="53" t="s">
        <v>195</v>
      </c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32</v>
      </c>
      <c r="B11" s="74">
        <v>22</v>
      </c>
      <c r="C11" s="74">
        <v>73</v>
      </c>
      <c r="D11" s="75">
        <v>2950000</v>
      </c>
      <c r="E11" s="75">
        <v>9770000</v>
      </c>
      <c r="F11" s="76">
        <f>D11/E11</f>
        <v>0.30194472876151485</v>
      </c>
      <c r="G11" s="74">
        <v>9</v>
      </c>
      <c r="H11" s="31">
        <f>G11*0.00000083</f>
        <v>7.4699999999999996E-6</v>
      </c>
      <c r="I11" s="74">
        <v>1085</v>
      </c>
      <c r="J11" s="74">
        <v>254</v>
      </c>
      <c r="K11" s="78">
        <v>7.2</v>
      </c>
      <c r="L11" s="74">
        <v>2.2999999999999998</v>
      </c>
      <c r="M11" s="74">
        <v>1.5</v>
      </c>
    </row>
    <row r="12" spans="1:13" s="32" customFormat="1" ht="13" customHeight="1" x14ac:dyDescent="0.15">
      <c r="A12" s="74">
        <v>29</v>
      </c>
      <c r="B12" s="74">
        <v>41</v>
      </c>
      <c r="C12" s="74">
        <v>126</v>
      </c>
      <c r="D12" s="75">
        <v>2470000</v>
      </c>
      <c r="E12" s="75">
        <v>7590000</v>
      </c>
      <c r="F12" s="76">
        <f t="shared" ref="F12:F46" si="0">D12/E12</f>
        <v>0.32542819499341241</v>
      </c>
      <c r="G12" s="74">
        <v>20</v>
      </c>
      <c r="H12" s="31">
        <f t="shared" ref="H12:H46" si="1">G12*0.00000083</f>
        <v>1.66E-5</v>
      </c>
      <c r="I12" s="74">
        <v>843</v>
      </c>
      <c r="J12" s="74">
        <v>151</v>
      </c>
      <c r="K12" s="78">
        <v>7.8</v>
      </c>
      <c r="L12" s="74">
        <v>1.7</v>
      </c>
      <c r="M12" s="74">
        <v>1.25</v>
      </c>
    </row>
    <row r="13" spans="1:13" s="33" customFormat="1" ht="15" x14ac:dyDescent="0.15">
      <c r="A13" s="74">
        <v>26</v>
      </c>
      <c r="B13" s="74">
        <v>41</v>
      </c>
      <c r="C13" s="74">
        <v>118</v>
      </c>
      <c r="D13" s="75">
        <v>2470000</v>
      </c>
      <c r="E13" s="75">
        <v>7110000</v>
      </c>
      <c r="F13" s="76">
        <f t="shared" si="0"/>
        <v>0.34739803094233473</v>
      </c>
      <c r="G13" s="74">
        <v>20</v>
      </c>
      <c r="H13" s="31">
        <f t="shared" si="1"/>
        <v>1.66E-5</v>
      </c>
      <c r="I13" s="74">
        <v>789</v>
      </c>
      <c r="J13" s="74">
        <v>146</v>
      </c>
      <c r="K13" s="78">
        <v>8.3000000000000007</v>
      </c>
      <c r="L13" s="74">
        <v>1.8</v>
      </c>
      <c r="M13" s="74">
        <v>1.35</v>
      </c>
    </row>
    <row r="14" spans="1:13" s="33" customFormat="1" ht="15" x14ac:dyDescent="0.15">
      <c r="A14" s="74">
        <v>8</v>
      </c>
      <c r="B14" s="74">
        <v>45</v>
      </c>
      <c r="C14" s="74">
        <v>104</v>
      </c>
      <c r="D14" s="75">
        <v>4520000</v>
      </c>
      <c r="E14" s="75">
        <v>10400000</v>
      </c>
      <c r="F14" s="76">
        <f t="shared" si="0"/>
        <v>0.43461538461538463</v>
      </c>
      <c r="G14" s="74">
        <v>12</v>
      </c>
      <c r="H14" s="31">
        <f t="shared" si="1"/>
        <v>9.9599999999999995E-6</v>
      </c>
      <c r="I14" s="74">
        <v>1046</v>
      </c>
      <c r="J14" s="74">
        <v>206</v>
      </c>
      <c r="K14" s="78">
        <v>11.4</v>
      </c>
      <c r="L14" s="74">
        <v>2.5</v>
      </c>
      <c r="M14" s="74">
        <v>1.75</v>
      </c>
    </row>
    <row r="15" spans="1:13" s="33" customFormat="1" ht="15" x14ac:dyDescent="0.15">
      <c r="A15" s="74">
        <v>24</v>
      </c>
      <c r="B15" s="74">
        <v>74</v>
      </c>
      <c r="C15" s="74">
        <v>169</v>
      </c>
      <c r="D15" s="75">
        <v>4460000</v>
      </c>
      <c r="E15" s="75">
        <v>10200000</v>
      </c>
      <c r="F15" s="76">
        <f t="shared" si="0"/>
        <v>0.43725490196078431</v>
      </c>
      <c r="G15" s="74">
        <v>20</v>
      </c>
      <c r="H15" s="31">
        <f t="shared" si="1"/>
        <v>1.66E-5</v>
      </c>
      <c r="I15" s="74">
        <v>1020</v>
      </c>
      <c r="J15" s="74">
        <v>159</v>
      </c>
      <c r="K15" s="78">
        <v>11.5</v>
      </c>
      <c r="L15" s="74">
        <v>1.9</v>
      </c>
      <c r="M15" s="74">
        <v>1.4</v>
      </c>
    </row>
    <row r="16" spans="1:13" s="33" customFormat="1" ht="15" x14ac:dyDescent="0.15">
      <c r="A16" s="74">
        <v>17</v>
      </c>
      <c r="B16" s="74">
        <v>109</v>
      </c>
      <c r="C16" s="74">
        <v>239</v>
      </c>
      <c r="D16" s="75">
        <v>2630000</v>
      </c>
      <c r="E16" s="75">
        <v>5760000</v>
      </c>
      <c r="F16" s="76">
        <f t="shared" si="0"/>
        <v>0.45659722222222221</v>
      </c>
      <c r="G16" s="74">
        <v>50</v>
      </c>
      <c r="H16" s="31">
        <f t="shared" si="1"/>
        <v>4.1499999999999999E-5</v>
      </c>
      <c r="I16" s="74">
        <v>577</v>
      </c>
      <c r="J16" s="74">
        <v>76</v>
      </c>
      <c r="K16" s="78">
        <v>12</v>
      </c>
      <c r="L16" s="74">
        <v>1.6</v>
      </c>
      <c r="M16" s="74">
        <v>1.25</v>
      </c>
    </row>
    <row r="17" spans="1:13" s="33" customFormat="1" ht="15" x14ac:dyDescent="0.15">
      <c r="A17" s="74">
        <v>12</v>
      </c>
      <c r="B17" s="74">
        <v>19</v>
      </c>
      <c r="C17" s="74">
        <v>41</v>
      </c>
      <c r="D17" s="75">
        <v>2290000</v>
      </c>
      <c r="E17" s="75">
        <v>4940000</v>
      </c>
      <c r="F17" s="76">
        <f t="shared" si="0"/>
        <v>0.46356275303643724</v>
      </c>
      <c r="G17" s="74">
        <v>10</v>
      </c>
      <c r="H17" s="31">
        <f t="shared" si="1"/>
        <v>8.3000000000000002E-6</v>
      </c>
      <c r="I17" s="74">
        <v>495</v>
      </c>
      <c r="J17" s="74">
        <v>154</v>
      </c>
      <c r="K17" s="78">
        <v>12.3</v>
      </c>
      <c r="L17" s="74">
        <v>4.5999999999999996</v>
      </c>
      <c r="M17" s="74">
        <v>2.8</v>
      </c>
    </row>
    <row r="18" spans="1:13" s="33" customFormat="1" ht="15" x14ac:dyDescent="0.15">
      <c r="A18" s="74">
        <v>9</v>
      </c>
      <c r="B18" s="74">
        <v>22</v>
      </c>
      <c r="C18" s="74">
        <v>38</v>
      </c>
      <c r="D18" s="75">
        <v>2950000</v>
      </c>
      <c r="E18" s="75">
        <v>5090000</v>
      </c>
      <c r="F18" s="76">
        <f t="shared" si="0"/>
        <v>0.5795677799607073</v>
      </c>
      <c r="G18" s="74">
        <v>9</v>
      </c>
      <c r="H18" s="31">
        <f t="shared" si="1"/>
        <v>7.4699999999999996E-6</v>
      </c>
      <c r="I18" s="74">
        <v>510</v>
      </c>
      <c r="J18" s="74">
        <v>165</v>
      </c>
      <c r="K18" s="78">
        <v>15.3</v>
      </c>
      <c r="L18" s="74">
        <v>5.6</v>
      </c>
      <c r="M18" s="74">
        <v>3.35</v>
      </c>
    </row>
    <row r="19" spans="1:13" s="33" customFormat="1" ht="15" x14ac:dyDescent="0.15">
      <c r="A19" s="74">
        <v>34</v>
      </c>
      <c r="B19" s="74">
        <v>48</v>
      </c>
      <c r="C19" s="74">
        <v>75</v>
      </c>
      <c r="D19" s="75">
        <v>7230000</v>
      </c>
      <c r="E19" s="75">
        <v>11300000</v>
      </c>
      <c r="F19" s="76">
        <f t="shared" si="0"/>
        <v>0.63982300884955756</v>
      </c>
      <c r="G19" s="74">
        <v>8</v>
      </c>
      <c r="H19" s="31">
        <f t="shared" si="1"/>
        <v>6.64E-6</v>
      </c>
      <c r="I19" s="74">
        <v>1254</v>
      </c>
      <c r="J19" s="74">
        <v>290</v>
      </c>
      <c r="K19" s="78">
        <v>15.3</v>
      </c>
      <c r="L19" s="74">
        <v>3.5</v>
      </c>
      <c r="M19" s="74">
        <v>2.4500000000000002</v>
      </c>
    </row>
    <row r="20" spans="1:13" s="33" customFormat="1" ht="15" x14ac:dyDescent="0.15">
      <c r="A20" s="74">
        <v>15</v>
      </c>
      <c r="B20" s="74">
        <v>41</v>
      </c>
      <c r="C20" s="74">
        <v>61</v>
      </c>
      <c r="D20" s="75">
        <v>4940000</v>
      </c>
      <c r="E20" s="75">
        <v>7350000</v>
      </c>
      <c r="F20" s="76">
        <f t="shared" si="0"/>
        <v>0.67210884353741496</v>
      </c>
      <c r="G20" s="74">
        <v>10</v>
      </c>
      <c r="H20" s="31">
        <f t="shared" si="1"/>
        <v>8.3000000000000002E-6</v>
      </c>
      <c r="I20" s="74">
        <v>736</v>
      </c>
      <c r="J20" s="74">
        <v>189</v>
      </c>
      <c r="K20" s="78">
        <v>17.7</v>
      </c>
      <c r="L20" s="74">
        <v>4.5999999999999996</v>
      </c>
      <c r="M20" s="74">
        <v>3.05</v>
      </c>
    </row>
    <row r="21" spans="1:13" s="33" customFormat="1" ht="15" x14ac:dyDescent="0.15">
      <c r="A21" s="74">
        <v>14</v>
      </c>
      <c r="B21" s="74">
        <v>42</v>
      </c>
      <c r="C21" s="74">
        <v>62</v>
      </c>
      <c r="D21" s="75">
        <v>2530000</v>
      </c>
      <c r="E21" s="75">
        <v>3730000</v>
      </c>
      <c r="F21" s="76">
        <f t="shared" si="0"/>
        <v>0.67828418230563003</v>
      </c>
      <c r="G21" s="74">
        <v>20</v>
      </c>
      <c r="H21" s="31">
        <f t="shared" si="1"/>
        <v>1.66E-5</v>
      </c>
      <c r="I21" s="74">
        <v>374</v>
      </c>
      <c r="J21" s="74">
        <v>95</v>
      </c>
      <c r="K21" s="78">
        <v>17.899999999999999</v>
      </c>
      <c r="L21" s="74">
        <v>4.5</v>
      </c>
      <c r="M21" s="74">
        <v>3.05</v>
      </c>
    </row>
    <row r="22" spans="1:13" s="33" customFormat="1" ht="15" x14ac:dyDescent="0.15">
      <c r="A22" s="74">
        <v>5</v>
      </c>
      <c r="B22" s="74">
        <v>24</v>
      </c>
      <c r="C22" s="74">
        <v>34</v>
      </c>
      <c r="D22" s="75">
        <v>1450000</v>
      </c>
      <c r="E22" s="75">
        <v>2050000</v>
      </c>
      <c r="F22" s="76">
        <f t="shared" si="0"/>
        <v>0.70731707317073167</v>
      </c>
      <c r="G22" s="74">
        <v>20</v>
      </c>
      <c r="H22" s="31">
        <f t="shared" si="1"/>
        <v>1.66E-5</v>
      </c>
      <c r="I22" s="74">
        <v>205</v>
      </c>
      <c r="J22" s="74">
        <v>70</v>
      </c>
      <c r="K22" s="78">
        <v>18.600000000000001</v>
      </c>
      <c r="L22" s="74">
        <v>6.9</v>
      </c>
      <c r="M22" s="74">
        <v>4</v>
      </c>
    </row>
    <row r="23" spans="1:13" s="33" customFormat="1" ht="15" x14ac:dyDescent="0.15">
      <c r="A23" s="74">
        <v>27</v>
      </c>
      <c r="B23" s="74">
        <v>46</v>
      </c>
      <c r="C23" s="74">
        <v>58</v>
      </c>
      <c r="D23" s="75">
        <v>3690000</v>
      </c>
      <c r="E23" s="75">
        <v>4660000</v>
      </c>
      <c r="F23" s="76">
        <f t="shared" si="0"/>
        <v>0.79184549356223177</v>
      </c>
      <c r="G23" s="74">
        <v>15</v>
      </c>
      <c r="H23" s="31">
        <f t="shared" si="1"/>
        <v>1.2449999999999999E-5</v>
      </c>
      <c r="I23" s="74">
        <v>517</v>
      </c>
      <c r="J23" s="74">
        <v>136</v>
      </c>
      <c r="K23" s="78">
        <v>18.899999999999999</v>
      </c>
      <c r="L23" s="74">
        <v>4.7</v>
      </c>
      <c r="M23" s="74">
        <v>3.2</v>
      </c>
    </row>
    <row r="24" spans="1:13" s="33" customFormat="1" ht="15" x14ac:dyDescent="0.15">
      <c r="A24" s="74">
        <v>23</v>
      </c>
      <c r="B24" s="74">
        <v>18</v>
      </c>
      <c r="C24" s="74">
        <v>25</v>
      </c>
      <c r="D24" s="75">
        <v>1810000</v>
      </c>
      <c r="E24" s="75">
        <v>2510000</v>
      </c>
      <c r="F24" s="76">
        <f t="shared" si="0"/>
        <v>0.7211155378486056</v>
      </c>
      <c r="G24" s="74">
        <v>12</v>
      </c>
      <c r="H24" s="31">
        <f t="shared" si="1"/>
        <v>9.9599999999999995E-6</v>
      </c>
      <c r="I24" s="74">
        <v>252</v>
      </c>
      <c r="J24" s="74">
        <v>100</v>
      </c>
      <c r="K24" s="78">
        <v>19</v>
      </c>
      <c r="L24" s="74">
        <v>8.6</v>
      </c>
      <c r="M24" s="74">
        <v>4.5999999999999996</v>
      </c>
    </row>
    <row r="25" spans="1:13" s="33" customFormat="1" ht="15" x14ac:dyDescent="0.15">
      <c r="A25" s="74">
        <v>16</v>
      </c>
      <c r="B25" s="74">
        <v>31</v>
      </c>
      <c r="C25" s="74">
        <v>41</v>
      </c>
      <c r="D25" s="75">
        <v>3110000</v>
      </c>
      <c r="E25" s="75">
        <v>4120000</v>
      </c>
      <c r="F25" s="76">
        <f t="shared" si="0"/>
        <v>0.75485436893203883</v>
      </c>
      <c r="G25" s="74">
        <v>12</v>
      </c>
      <c r="H25" s="31">
        <f t="shared" si="1"/>
        <v>9.9599999999999995E-6</v>
      </c>
      <c r="I25" s="74">
        <v>412</v>
      </c>
      <c r="J25" s="74">
        <v>128</v>
      </c>
      <c r="K25" s="78">
        <v>20</v>
      </c>
      <c r="L25" s="74">
        <v>6.3</v>
      </c>
      <c r="M25" s="74">
        <v>3.95</v>
      </c>
    </row>
    <row r="26" spans="1:13" s="33" customFormat="1" ht="15" x14ac:dyDescent="0.15">
      <c r="A26" s="74">
        <v>22</v>
      </c>
      <c r="B26" s="74">
        <v>35</v>
      </c>
      <c r="C26" s="74">
        <v>44</v>
      </c>
      <c r="D26" s="75">
        <v>2810000</v>
      </c>
      <c r="E26" s="75">
        <v>3530000</v>
      </c>
      <c r="F26" s="76">
        <f t="shared" si="0"/>
        <v>0.79603399433427757</v>
      </c>
      <c r="G26" s="74">
        <v>15</v>
      </c>
      <c r="H26" s="31">
        <f t="shared" si="1"/>
        <v>1.2449999999999999E-5</v>
      </c>
      <c r="I26" s="74">
        <v>354</v>
      </c>
      <c r="J26" s="74">
        <v>107</v>
      </c>
      <c r="K26" s="78">
        <v>21</v>
      </c>
      <c r="L26" s="74">
        <v>6.2</v>
      </c>
      <c r="M26" s="74">
        <v>3.95</v>
      </c>
    </row>
    <row r="27" spans="1:13" s="33" customFormat="1" ht="15" x14ac:dyDescent="0.15">
      <c r="A27" s="74">
        <v>30</v>
      </c>
      <c r="B27" s="74">
        <v>37</v>
      </c>
      <c r="C27" s="74">
        <v>42</v>
      </c>
      <c r="D27" s="75">
        <v>4950000</v>
      </c>
      <c r="E27" s="75">
        <v>5620000</v>
      </c>
      <c r="F27" s="76">
        <f t="shared" si="0"/>
        <v>0.88078291814946619</v>
      </c>
      <c r="G27" s="74">
        <v>9</v>
      </c>
      <c r="H27" s="31">
        <f t="shared" si="1"/>
        <v>7.4699999999999996E-6</v>
      </c>
      <c r="I27" s="74">
        <v>624</v>
      </c>
      <c r="J27" s="74">
        <v>192</v>
      </c>
      <c r="K27" s="78">
        <v>21</v>
      </c>
      <c r="L27" s="74">
        <v>6.2</v>
      </c>
      <c r="M27" s="74">
        <v>3.95</v>
      </c>
    </row>
    <row r="28" spans="1:13" s="33" customFormat="1" ht="15" x14ac:dyDescent="0.15">
      <c r="A28" s="74">
        <v>31</v>
      </c>
      <c r="B28" s="74">
        <v>29</v>
      </c>
      <c r="C28" s="74">
        <v>31</v>
      </c>
      <c r="D28" s="75">
        <v>2180000</v>
      </c>
      <c r="E28" s="75">
        <v>2330000</v>
      </c>
      <c r="F28" s="76">
        <f t="shared" si="0"/>
        <v>0.93562231759656656</v>
      </c>
      <c r="G28" s="74">
        <v>16</v>
      </c>
      <c r="H28" s="31">
        <f t="shared" si="1"/>
        <v>1.328E-5</v>
      </c>
      <c r="I28" s="74">
        <v>259</v>
      </c>
      <c r="J28" s="74">
        <v>93</v>
      </c>
      <c r="K28" s="78">
        <v>22.3</v>
      </c>
      <c r="L28" s="74">
        <v>7.9</v>
      </c>
      <c r="M28" s="74">
        <v>4.7</v>
      </c>
    </row>
    <row r="29" spans="1:13" s="33" customFormat="1" ht="15" x14ac:dyDescent="0.15">
      <c r="A29" s="74">
        <v>3</v>
      </c>
      <c r="B29" s="74">
        <v>57</v>
      </c>
      <c r="C29" s="74">
        <v>67</v>
      </c>
      <c r="D29" s="75">
        <v>3430000</v>
      </c>
      <c r="E29" s="75">
        <v>4040000</v>
      </c>
      <c r="F29" s="76">
        <f t="shared" si="0"/>
        <v>0.84900990099009899</v>
      </c>
      <c r="G29" s="74">
        <v>20</v>
      </c>
      <c r="H29" s="31">
        <f t="shared" si="1"/>
        <v>1.66E-5</v>
      </c>
      <c r="I29" s="74">
        <v>404</v>
      </c>
      <c r="J29" s="74">
        <v>99</v>
      </c>
      <c r="K29" s="78">
        <v>22.4</v>
      </c>
      <c r="L29" s="74">
        <v>5</v>
      </c>
      <c r="M29" s="74">
        <v>3.45</v>
      </c>
    </row>
    <row r="30" spans="1:13" s="33" customFormat="1" ht="15" x14ac:dyDescent="0.15">
      <c r="A30" s="74">
        <v>2</v>
      </c>
      <c r="B30" s="74">
        <v>51</v>
      </c>
      <c r="C30" s="74">
        <v>53</v>
      </c>
      <c r="D30" s="75">
        <v>6830000</v>
      </c>
      <c r="E30" s="75">
        <v>7100000</v>
      </c>
      <c r="F30" s="76">
        <f t="shared" si="0"/>
        <v>0.96197183098591554</v>
      </c>
      <c r="G30" s="74">
        <v>9</v>
      </c>
      <c r="H30" s="31">
        <f t="shared" si="1"/>
        <v>7.4699999999999996E-6</v>
      </c>
      <c r="I30" s="74">
        <v>711</v>
      </c>
      <c r="J30" s="74">
        <v>195</v>
      </c>
      <c r="K30" s="78">
        <v>25.4</v>
      </c>
      <c r="L30" s="74">
        <v>6.3</v>
      </c>
      <c r="M30" s="74">
        <v>4.25</v>
      </c>
    </row>
    <row r="31" spans="1:13" s="33" customFormat="1" ht="15" x14ac:dyDescent="0.15">
      <c r="A31" s="74">
        <v>20</v>
      </c>
      <c r="B31" s="74">
        <v>28</v>
      </c>
      <c r="C31" s="74">
        <v>29</v>
      </c>
      <c r="D31" s="75">
        <v>2250000</v>
      </c>
      <c r="E31" s="75">
        <v>2330000</v>
      </c>
      <c r="F31" s="76">
        <f t="shared" si="0"/>
        <v>0.96566523605150212</v>
      </c>
      <c r="G31" s="74">
        <v>15</v>
      </c>
      <c r="H31" s="31">
        <f t="shared" si="1"/>
        <v>1.2449999999999999E-5</v>
      </c>
      <c r="I31" s="74">
        <v>233</v>
      </c>
      <c r="J31" s="74">
        <v>86</v>
      </c>
      <c r="K31" s="78">
        <v>25.4</v>
      </c>
      <c r="L31" s="74">
        <v>9.5</v>
      </c>
      <c r="M31" s="74">
        <v>5.4</v>
      </c>
    </row>
    <row r="32" spans="1:13" s="33" customFormat="1" ht="15" x14ac:dyDescent="0.15">
      <c r="A32" s="74">
        <v>1</v>
      </c>
      <c r="B32" s="74">
        <v>18</v>
      </c>
      <c r="C32" s="74">
        <v>18</v>
      </c>
      <c r="D32" s="75">
        <v>1450000</v>
      </c>
      <c r="E32" s="75">
        <v>1450000</v>
      </c>
      <c r="F32" s="76">
        <f t="shared" si="0"/>
        <v>1</v>
      </c>
      <c r="G32" s="74">
        <v>15</v>
      </c>
      <c r="H32" s="31">
        <f t="shared" si="1"/>
        <v>1.2449999999999999E-5</v>
      </c>
      <c r="I32" s="74">
        <v>145</v>
      </c>
      <c r="J32" s="74">
        <v>67</v>
      </c>
      <c r="K32" s="78">
        <v>26.3</v>
      </c>
      <c r="L32" s="79">
        <v>13.7</v>
      </c>
      <c r="M32" s="79">
        <v>6.7</v>
      </c>
    </row>
    <row r="33" spans="1:13" s="34" customFormat="1" ht="15" x14ac:dyDescent="0.15">
      <c r="A33" s="74">
        <v>4</v>
      </c>
      <c r="B33" s="74">
        <v>64</v>
      </c>
      <c r="C33" s="74">
        <v>61</v>
      </c>
      <c r="D33" s="75">
        <v>8570000</v>
      </c>
      <c r="E33" s="75">
        <v>8170000</v>
      </c>
      <c r="F33" s="76">
        <f t="shared" si="0"/>
        <v>1.0489596083231334</v>
      </c>
      <c r="G33" s="74">
        <v>9</v>
      </c>
      <c r="H33" s="31">
        <f t="shared" si="1"/>
        <v>7.4699999999999996E-6</v>
      </c>
      <c r="I33" s="74">
        <v>818</v>
      </c>
      <c r="J33" s="74">
        <v>210</v>
      </c>
      <c r="K33" s="78">
        <v>27.6</v>
      </c>
      <c r="L33" s="74">
        <v>6.2</v>
      </c>
      <c r="M33" s="74">
        <v>4.25</v>
      </c>
    </row>
    <row r="34" spans="1:13" ht="15" x14ac:dyDescent="0.15">
      <c r="A34" s="74">
        <v>6</v>
      </c>
      <c r="B34" s="74">
        <v>68</v>
      </c>
      <c r="C34" s="74">
        <v>57</v>
      </c>
      <c r="D34" s="75">
        <v>5120000</v>
      </c>
      <c r="E34" s="75">
        <v>4290000</v>
      </c>
      <c r="F34" s="76">
        <f t="shared" si="0"/>
        <v>1.1934731934731935</v>
      </c>
      <c r="G34" s="74">
        <v>16</v>
      </c>
      <c r="H34" s="31">
        <f t="shared" si="1"/>
        <v>1.328E-5</v>
      </c>
      <c r="I34" s="74">
        <v>430</v>
      </c>
      <c r="J34" s="74">
        <v>114</v>
      </c>
      <c r="K34" s="78">
        <v>31.4</v>
      </c>
      <c r="L34" s="74">
        <v>7.1</v>
      </c>
      <c r="M34" s="74">
        <v>4.8</v>
      </c>
    </row>
    <row r="35" spans="1:13" ht="15" x14ac:dyDescent="0.15">
      <c r="A35" s="74">
        <v>25</v>
      </c>
      <c r="B35" s="74">
        <v>21</v>
      </c>
      <c r="C35" s="74">
        <v>17</v>
      </c>
      <c r="D35" s="75">
        <v>2810000</v>
      </c>
      <c r="E35" s="75">
        <v>2280000</v>
      </c>
      <c r="F35" s="76">
        <f t="shared" si="0"/>
        <v>1.2324561403508771</v>
      </c>
      <c r="G35" s="74">
        <v>9</v>
      </c>
      <c r="H35" s="31">
        <f t="shared" si="1"/>
        <v>7.4699999999999996E-6</v>
      </c>
      <c r="I35" s="74">
        <v>228</v>
      </c>
      <c r="J35" s="74">
        <v>109</v>
      </c>
      <c r="K35" s="78">
        <v>32.5</v>
      </c>
      <c r="L35" s="74">
        <v>16.5</v>
      </c>
      <c r="M35" s="74">
        <v>8.0500000000000007</v>
      </c>
    </row>
    <row r="36" spans="1:13" ht="15" x14ac:dyDescent="0.15">
      <c r="A36" s="74">
        <v>36</v>
      </c>
      <c r="B36" s="74">
        <v>45</v>
      </c>
      <c r="C36" s="74">
        <v>30</v>
      </c>
      <c r="D36" s="75">
        <v>6780000</v>
      </c>
      <c r="E36" s="75">
        <v>4520000</v>
      </c>
      <c r="F36" s="76">
        <f t="shared" si="0"/>
        <v>1.5</v>
      </c>
      <c r="G36" s="74">
        <v>8</v>
      </c>
      <c r="H36" s="31">
        <f t="shared" si="1"/>
        <v>6.64E-6</v>
      </c>
      <c r="I36" s="74">
        <v>502</v>
      </c>
      <c r="J36" s="74">
        <v>182</v>
      </c>
      <c r="K36" s="78">
        <v>35.6</v>
      </c>
      <c r="L36" s="74">
        <v>11.5</v>
      </c>
      <c r="M36" s="74">
        <v>6.8</v>
      </c>
    </row>
    <row r="37" spans="1:13" ht="15" x14ac:dyDescent="0.15">
      <c r="A37" s="74">
        <v>11</v>
      </c>
      <c r="B37" s="74">
        <v>28</v>
      </c>
      <c r="C37" s="74">
        <v>20</v>
      </c>
      <c r="D37" s="75">
        <v>3750000</v>
      </c>
      <c r="E37" s="75">
        <v>2680000</v>
      </c>
      <c r="F37" s="76">
        <f t="shared" si="0"/>
        <v>1.3992537313432836</v>
      </c>
      <c r="G37" s="74">
        <v>9</v>
      </c>
      <c r="H37" s="31">
        <f t="shared" si="1"/>
        <v>7.4699999999999996E-6</v>
      </c>
      <c r="I37" s="74">
        <v>268</v>
      </c>
      <c r="J37" s="74">
        <v>119</v>
      </c>
      <c r="K37" s="78">
        <v>36.799999999999997</v>
      </c>
      <c r="L37" s="74">
        <v>16.100000000000001</v>
      </c>
      <c r="M37" s="74">
        <v>8.4</v>
      </c>
    </row>
    <row r="38" spans="1:13" ht="15" x14ac:dyDescent="0.15">
      <c r="A38" s="74">
        <v>28</v>
      </c>
      <c r="B38" s="74">
        <v>24</v>
      </c>
      <c r="C38" s="74">
        <v>15</v>
      </c>
      <c r="D38" s="75">
        <v>4820000</v>
      </c>
      <c r="E38" s="75">
        <v>3010000</v>
      </c>
      <c r="F38" s="76">
        <f t="shared" si="0"/>
        <v>1.6013289036544851</v>
      </c>
      <c r="G38" s="74">
        <v>6</v>
      </c>
      <c r="H38" s="31">
        <f t="shared" si="1"/>
        <v>4.9799999999999998E-6</v>
      </c>
      <c r="I38" s="74">
        <v>334</v>
      </c>
      <c r="J38" s="74">
        <v>170</v>
      </c>
      <c r="K38" s="78">
        <v>37.9</v>
      </c>
      <c r="L38" s="74">
        <v>19.899999999999999</v>
      </c>
      <c r="M38" s="74">
        <v>9.35</v>
      </c>
    </row>
    <row r="39" spans="1:13" ht="15" x14ac:dyDescent="0.15">
      <c r="A39" s="74">
        <v>33</v>
      </c>
      <c r="B39" s="74">
        <v>39</v>
      </c>
      <c r="C39" s="74">
        <v>22</v>
      </c>
      <c r="D39" s="75">
        <v>3920000</v>
      </c>
      <c r="E39" s="75">
        <v>2210000</v>
      </c>
      <c r="F39" s="76">
        <f t="shared" si="0"/>
        <v>1.7737556561085972</v>
      </c>
      <c r="G39" s="74">
        <v>12</v>
      </c>
      <c r="H39" s="31">
        <f t="shared" si="1"/>
        <v>9.9599999999999995E-6</v>
      </c>
      <c r="I39" s="74">
        <v>245</v>
      </c>
      <c r="J39" s="74">
        <v>104</v>
      </c>
      <c r="K39" s="78">
        <v>42</v>
      </c>
      <c r="L39" s="74">
        <v>16.2</v>
      </c>
      <c r="M39" s="74">
        <v>8.8000000000000007</v>
      </c>
    </row>
    <row r="40" spans="1:13" ht="15" x14ac:dyDescent="0.15">
      <c r="A40" s="74">
        <v>19</v>
      </c>
      <c r="B40" s="74">
        <v>44</v>
      </c>
      <c r="C40" s="74">
        <v>26</v>
      </c>
      <c r="D40" s="75">
        <v>5890000</v>
      </c>
      <c r="E40" s="75">
        <v>3480000</v>
      </c>
      <c r="F40" s="76">
        <f t="shared" si="0"/>
        <v>1.6925287356321839</v>
      </c>
      <c r="G40" s="74">
        <v>9</v>
      </c>
      <c r="H40" s="31">
        <f t="shared" si="1"/>
        <v>7.4699999999999996E-6</v>
      </c>
      <c r="I40" s="74">
        <v>349</v>
      </c>
      <c r="J40" s="74">
        <v>136</v>
      </c>
      <c r="K40" s="78">
        <v>44.4</v>
      </c>
      <c r="L40" s="74">
        <v>15.4</v>
      </c>
      <c r="M40" s="74">
        <v>8.8000000000000007</v>
      </c>
    </row>
    <row r="41" spans="1:13" ht="15" x14ac:dyDescent="0.15">
      <c r="A41" s="74">
        <v>7</v>
      </c>
      <c r="B41" s="74">
        <v>64</v>
      </c>
      <c r="C41" s="74">
        <v>37</v>
      </c>
      <c r="D41" s="75">
        <v>7710000</v>
      </c>
      <c r="E41" s="75">
        <v>4460000</v>
      </c>
      <c r="F41" s="76">
        <f t="shared" si="0"/>
        <v>1.7286995515695067</v>
      </c>
      <c r="G41" s="74">
        <v>10</v>
      </c>
      <c r="H41" s="31">
        <f t="shared" si="1"/>
        <v>8.3000000000000002E-6</v>
      </c>
      <c r="I41" s="74">
        <v>447</v>
      </c>
      <c r="J41" s="74">
        <v>146</v>
      </c>
      <c r="K41" s="78">
        <v>45.4</v>
      </c>
      <c r="L41" s="74">
        <v>12.4</v>
      </c>
      <c r="M41" s="74">
        <v>7.75</v>
      </c>
    </row>
    <row r="42" spans="1:13" ht="15" x14ac:dyDescent="0.15">
      <c r="A42" s="74">
        <v>21</v>
      </c>
      <c r="B42" s="74">
        <v>53</v>
      </c>
      <c r="C42" s="74">
        <v>26</v>
      </c>
      <c r="D42" s="75">
        <v>6390000</v>
      </c>
      <c r="E42" s="75">
        <v>3130000</v>
      </c>
      <c r="F42" s="76">
        <f t="shared" si="0"/>
        <v>2.0415335463258786</v>
      </c>
      <c r="G42" s="74">
        <v>10</v>
      </c>
      <c r="H42" s="31">
        <f t="shared" si="1"/>
        <v>8.3000000000000002E-6</v>
      </c>
      <c r="I42" s="74">
        <v>314</v>
      </c>
      <c r="J42" s="74">
        <v>122</v>
      </c>
      <c r="K42" s="78">
        <v>53.4</v>
      </c>
      <c r="L42" s="74">
        <v>17.899999999999999</v>
      </c>
      <c r="M42" s="74">
        <v>10.25</v>
      </c>
    </row>
    <row r="43" spans="1:13" ht="15" x14ac:dyDescent="0.15">
      <c r="A43" s="74">
        <v>13</v>
      </c>
      <c r="B43" s="74">
        <v>28</v>
      </c>
      <c r="C43" s="74">
        <v>12</v>
      </c>
      <c r="D43" s="75">
        <v>3750000</v>
      </c>
      <c r="E43" s="75">
        <v>1610000</v>
      </c>
      <c r="F43" s="76">
        <f t="shared" si="0"/>
        <v>2.329192546583851</v>
      </c>
      <c r="G43" s="74">
        <v>9</v>
      </c>
      <c r="H43" s="31">
        <f t="shared" si="1"/>
        <v>7.4699999999999996E-6</v>
      </c>
      <c r="I43" s="74">
        <v>161</v>
      </c>
      <c r="J43" s="74">
        <v>91</v>
      </c>
      <c r="K43" s="78">
        <v>60.8</v>
      </c>
      <c r="L43" s="74">
        <v>35.5</v>
      </c>
      <c r="M43" s="74">
        <v>15.3</v>
      </c>
    </row>
    <row r="44" spans="1:13" ht="15" x14ac:dyDescent="0.15">
      <c r="A44" s="74">
        <v>10</v>
      </c>
      <c r="B44" s="74">
        <v>23</v>
      </c>
      <c r="C44" s="74">
        <v>9</v>
      </c>
      <c r="D44" s="75">
        <v>2770000</v>
      </c>
      <c r="E44" s="75">
        <v>1080000</v>
      </c>
      <c r="F44" s="76">
        <f t="shared" si="0"/>
        <v>2.5648148148148149</v>
      </c>
      <c r="G44" s="74">
        <v>10</v>
      </c>
      <c r="H44" s="31">
        <f t="shared" si="1"/>
        <v>8.3000000000000002E-6</v>
      </c>
      <c r="I44" s="74">
        <v>109</v>
      </c>
      <c r="J44" s="74">
        <v>71</v>
      </c>
      <c r="K44" s="78">
        <v>66.400000000000006</v>
      </c>
      <c r="L44" s="74">
        <v>48.6</v>
      </c>
      <c r="M44" s="74">
        <v>18.2</v>
      </c>
    </row>
    <row r="45" spans="1:13" ht="15" x14ac:dyDescent="0.15">
      <c r="A45" s="74">
        <v>18</v>
      </c>
      <c r="B45" s="74">
        <v>34</v>
      </c>
      <c r="C45" s="74">
        <v>12</v>
      </c>
      <c r="D45" s="75">
        <v>2930000</v>
      </c>
      <c r="E45" s="75">
        <v>1030000</v>
      </c>
      <c r="F45" s="76">
        <f t="shared" si="0"/>
        <v>2.8446601941747574</v>
      </c>
      <c r="G45" s="74">
        <v>14</v>
      </c>
      <c r="H45" s="31">
        <f t="shared" si="1"/>
        <v>1.1620000000000001E-5</v>
      </c>
      <c r="I45" s="74">
        <v>103</v>
      </c>
      <c r="J45" s="74">
        <v>59</v>
      </c>
      <c r="K45" s="78">
        <v>73.7</v>
      </c>
      <c r="L45" s="74">
        <v>41.6</v>
      </c>
      <c r="M45" s="74">
        <v>18.05</v>
      </c>
    </row>
    <row r="46" spans="1:13" ht="15" x14ac:dyDescent="0.15">
      <c r="A46" s="74">
        <v>35</v>
      </c>
      <c r="B46" s="74">
        <v>32</v>
      </c>
      <c r="C46" s="74">
        <v>3</v>
      </c>
      <c r="D46" s="75">
        <v>3210000</v>
      </c>
      <c r="E46" s="75">
        <v>301000</v>
      </c>
      <c r="F46" s="76">
        <f t="shared" si="0"/>
        <v>10.664451827242525</v>
      </c>
      <c r="G46" s="74">
        <v>12</v>
      </c>
      <c r="H46" s="31">
        <f t="shared" si="1"/>
        <v>9.9599999999999995E-6</v>
      </c>
      <c r="I46" s="74">
        <v>33</v>
      </c>
      <c r="J46" s="74">
        <v>36</v>
      </c>
      <c r="K46" s="78">
        <v>238.1</v>
      </c>
      <c r="L46" s="74">
        <v>472</v>
      </c>
      <c r="M46" s="74">
        <v>79.55</v>
      </c>
    </row>
    <row r="47" spans="1:13" ht="15" x14ac:dyDescent="0.15">
      <c r="A47" s="74"/>
      <c r="B47" s="74"/>
      <c r="C47" s="74"/>
      <c r="D47" s="75"/>
      <c r="E47" s="75"/>
      <c r="F47" s="76"/>
      <c r="G47" s="74"/>
      <c r="H47" s="31"/>
      <c r="I47" s="74"/>
      <c r="J47" s="74"/>
      <c r="K47" s="78"/>
      <c r="L47" s="77"/>
      <c r="M47" s="77"/>
    </row>
    <row r="48" spans="1:13" ht="15" x14ac:dyDescent="0.15">
      <c r="A48" s="74"/>
      <c r="B48" s="74"/>
      <c r="C48" s="74"/>
      <c r="D48" s="75"/>
      <c r="E48" s="75"/>
      <c r="F48" s="76"/>
      <c r="G48" s="74"/>
      <c r="H48" s="31"/>
      <c r="I48" s="74"/>
      <c r="J48" s="74"/>
      <c r="K48" s="78"/>
      <c r="L48" s="77"/>
      <c r="M48" s="77"/>
    </row>
    <row r="49" spans="1:13" ht="15" x14ac:dyDescent="0.15">
      <c r="A49" s="74"/>
      <c r="B49" s="74"/>
      <c r="C49" s="74"/>
      <c r="D49" s="75"/>
      <c r="E49" s="75"/>
      <c r="F49" s="76"/>
      <c r="G49" s="74"/>
      <c r="H49" s="31"/>
      <c r="I49" s="74"/>
      <c r="J49" s="74"/>
      <c r="K49" s="78"/>
      <c r="L49" s="77"/>
      <c r="M49" s="77"/>
    </row>
    <row r="50" spans="1:13" ht="15" x14ac:dyDescent="0.15">
      <c r="A50" s="74"/>
      <c r="B50" s="74"/>
      <c r="C50" s="74"/>
      <c r="D50" s="75"/>
      <c r="E50" s="75"/>
      <c r="F50" s="76"/>
      <c r="G50" s="74"/>
      <c r="H50" s="31"/>
      <c r="I50" s="74"/>
      <c r="J50" s="74"/>
      <c r="K50" s="78"/>
      <c r="L50" s="77"/>
      <c r="M50" s="77"/>
    </row>
    <row r="51" spans="1:13" ht="15" x14ac:dyDescent="0.15">
      <c r="A51" s="74"/>
      <c r="B51" s="74"/>
      <c r="C51" s="74"/>
      <c r="D51" s="75"/>
      <c r="E51" s="75"/>
      <c r="F51" s="76"/>
      <c r="G51" s="74"/>
      <c r="H51" s="31"/>
      <c r="I51" s="74"/>
      <c r="J51" s="74"/>
      <c r="K51" s="78"/>
      <c r="L51" s="77"/>
      <c r="M51" s="77"/>
    </row>
    <row r="52" spans="1:13" ht="15" x14ac:dyDescent="0.15">
      <c r="A52" s="74"/>
      <c r="B52" s="74"/>
      <c r="C52" s="74"/>
      <c r="D52" s="75"/>
      <c r="E52" s="75"/>
      <c r="F52" s="76"/>
      <c r="G52" s="74"/>
      <c r="H52" s="31"/>
      <c r="I52" s="74"/>
      <c r="J52" s="74"/>
      <c r="K52" s="78"/>
      <c r="L52" s="77"/>
      <c r="M52" s="77"/>
    </row>
    <row r="53" spans="1:13" ht="15" x14ac:dyDescent="0.15">
      <c r="A53" s="74"/>
      <c r="B53" s="74"/>
      <c r="C53" s="74"/>
      <c r="D53" s="75"/>
      <c r="E53" s="75"/>
      <c r="F53" s="76"/>
      <c r="G53" s="74"/>
      <c r="H53" s="31"/>
      <c r="I53" s="74"/>
      <c r="J53" s="74"/>
      <c r="K53" s="78"/>
      <c r="L53" s="77"/>
      <c r="M53" s="77"/>
    </row>
    <row r="54" spans="1:13" ht="15" x14ac:dyDescent="0.15">
      <c r="A54" s="74"/>
      <c r="B54" s="74"/>
      <c r="C54" s="74"/>
      <c r="D54" s="75"/>
      <c r="E54" s="75"/>
      <c r="F54" s="76"/>
      <c r="G54" s="74"/>
      <c r="H54" s="31"/>
      <c r="I54" s="74"/>
      <c r="J54" s="74"/>
      <c r="K54" s="78"/>
      <c r="L54" s="77"/>
      <c r="M54" s="77"/>
    </row>
    <row r="55" spans="1:13" ht="15" x14ac:dyDescent="0.15">
      <c r="A55" s="74"/>
      <c r="B55" s="74"/>
      <c r="C55" s="74"/>
      <c r="D55" s="75"/>
      <c r="E55" s="75"/>
      <c r="F55" s="76"/>
      <c r="G55" s="74"/>
      <c r="H55" s="31"/>
      <c r="I55" s="74"/>
      <c r="J55" s="74"/>
      <c r="K55" s="78"/>
      <c r="L55" s="77"/>
      <c r="M55" s="77"/>
    </row>
    <row r="56" spans="1:13" ht="15" x14ac:dyDescent="0.15">
      <c r="A56" s="74"/>
      <c r="B56" s="74"/>
      <c r="C56" s="74"/>
      <c r="D56" s="75"/>
      <c r="E56" s="75"/>
      <c r="F56" s="76"/>
      <c r="G56" s="74"/>
      <c r="H56" s="31"/>
      <c r="I56" s="74"/>
      <c r="J56" s="74"/>
      <c r="K56" s="78"/>
      <c r="L56" s="77"/>
      <c r="M56" s="77"/>
    </row>
    <row r="57" spans="1:13" ht="15" x14ac:dyDescent="0.15">
      <c r="A57" s="74"/>
      <c r="B57" s="74"/>
      <c r="C57" s="74"/>
      <c r="D57" s="75"/>
      <c r="E57" s="75"/>
      <c r="F57" s="76"/>
      <c r="G57" s="74"/>
      <c r="H57" s="31"/>
      <c r="I57" s="74"/>
      <c r="J57" s="74"/>
      <c r="K57" s="78"/>
      <c r="L57" s="77"/>
      <c r="M57" s="77"/>
    </row>
    <row r="58" spans="1:13" ht="15" x14ac:dyDescent="0.15">
      <c r="A58" s="74"/>
      <c r="B58" s="74"/>
      <c r="C58" s="74"/>
      <c r="D58" s="75"/>
      <c r="E58" s="75"/>
      <c r="F58" s="76"/>
      <c r="G58" s="74"/>
      <c r="H58" s="31"/>
      <c r="I58" s="74"/>
      <c r="J58" s="74"/>
      <c r="K58" s="78"/>
      <c r="L58" s="77"/>
      <c r="M58" s="77"/>
    </row>
    <row r="59" spans="1:13" ht="15" x14ac:dyDescent="0.15">
      <c r="A59" s="74"/>
      <c r="B59" s="74"/>
      <c r="C59" s="74"/>
      <c r="D59" s="75"/>
      <c r="E59" s="75"/>
      <c r="F59" s="76"/>
      <c r="G59" s="74"/>
      <c r="H59" s="31"/>
      <c r="I59" s="74"/>
      <c r="J59" s="74"/>
      <c r="K59" s="78"/>
      <c r="L59" s="77"/>
      <c r="M59" s="77"/>
    </row>
    <row r="60" spans="1:13" ht="15" x14ac:dyDescent="0.15">
      <c r="A60" s="74"/>
      <c r="B60" s="74"/>
      <c r="C60" s="74"/>
      <c r="D60" s="75"/>
      <c r="E60" s="75"/>
      <c r="F60" s="76"/>
      <c r="G60" s="74"/>
      <c r="H60" s="31"/>
      <c r="I60" s="74"/>
      <c r="J60" s="74"/>
      <c r="K60" s="78"/>
      <c r="L60" s="77"/>
      <c r="M60" s="77"/>
    </row>
    <row r="61" spans="1:13" ht="15" x14ac:dyDescent="0.15">
      <c r="A61" s="74"/>
      <c r="B61" s="74"/>
      <c r="C61" s="74"/>
      <c r="D61" s="75"/>
      <c r="E61" s="75"/>
      <c r="F61" s="76"/>
      <c r="G61" s="74"/>
      <c r="H61" s="31"/>
      <c r="I61" s="74"/>
      <c r="J61" s="74"/>
      <c r="K61" s="78"/>
      <c r="L61" s="77"/>
      <c r="M61" s="77"/>
    </row>
    <row r="62" spans="1:13" ht="15" x14ac:dyDescent="0.15">
      <c r="A62" s="74"/>
      <c r="B62" s="74"/>
      <c r="C62" s="74"/>
      <c r="D62" s="75"/>
      <c r="E62" s="75"/>
      <c r="F62" s="76"/>
      <c r="G62" s="74"/>
      <c r="H62" s="31"/>
      <c r="I62" s="74"/>
      <c r="J62" s="74"/>
      <c r="K62" s="78"/>
      <c r="L62" s="77"/>
      <c r="M62" s="77"/>
    </row>
    <row r="63" spans="1:13" ht="15" x14ac:dyDescent="0.15">
      <c r="A63" s="74"/>
      <c r="B63" s="74"/>
      <c r="C63" s="74"/>
      <c r="D63" s="75"/>
      <c r="E63" s="75"/>
      <c r="F63" s="76"/>
      <c r="G63" s="74"/>
      <c r="H63" s="31"/>
      <c r="I63" s="74"/>
      <c r="J63" s="74"/>
      <c r="K63" s="78"/>
      <c r="L63" s="77"/>
      <c r="M63" s="77"/>
    </row>
    <row r="64" spans="1:13" ht="15" x14ac:dyDescent="0.15">
      <c r="A64" s="74"/>
      <c r="B64" s="74"/>
      <c r="C64" s="74"/>
      <c r="D64" s="75"/>
      <c r="E64" s="75"/>
      <c r="F64" s="76"/>
      <c r="G64" s="74"/>
      <c r="H64" s="31"/>
      <c r="I64" s="74"/>
      <c r="J64" s="74"/>
      <c r="K64" s="78"/>
      <c r="L64" s="77"/>
      <c r="M64" s="77"/>
    </row>
    <row r="65" spans="1:13" ht="15" x14ac:dyDescent="0.15">
      <c r="A65" s="74"/>
      <c r="B65" s="74"/>
      <c r="C65" s="74"/>
      <c r="D65" s="75"/>
      <c r="E65" s="75"/>
      <c r="F65" s="76"/>
      <c r="G65" s="74"/>
      <c r="H65" s="31"/>
      <c r="I65" s="74"/>
      <c r="J65" s="74"/>
      <c r="K65" s="78"/>
      <c r="L65" s="77"/>
      <c r="M65" s="77"/>
    </row>
    <row r="66" spans="1:13" ht="15" x14ac:dyDescent="0.15">
      <c r="A66" s="74"/>
      <c r="B66" s="74"/>
      <c r="C66" s="74"/>
      <c r="D66" s="75"/>
      <c r="E66" s="75"/>
      <c r="F66" s="76"/>
      <c r="G66" s="74"/>
      <c r="H66" s="31"/>
      <c r="I66" s="74"/>
      <c r="J66" s="74"/>
      <c r="K66" s="78"/>
      <c r="L66" s="77"/>
      <c r="M66" s="77"/>
    </row>
    <row r="67" spans="1:13" ht="15" x14ac:dyDescent="0.15">
      <c r="A67" s="74"/>
      <c r="B67" s="74"/>
      <c r="C67" s="74"/>
      <c r="D67" s="75"/>
      <c r="E67" s="75"/>
      <c r="F67" s="76"/>
      <c r="G67" s="74"/>
      <c r="H67" s="31"/>
      <c r="I67" s="74"/>
      <c r="J67" s="74"/>
      <c r="K67" s="78"/>
      <c r="L67" s="77"/>
      <c r="M67" s="77"/>
    </row>
    <row r="68" spans="1:13" ht="15" x14ac:dyDescent="0.15">
      <c r="A68" s="74"/>
      <c r="B68" s="74"/>
      <c r="C68" s="74"/>
      <c r="D68" s="75"/>
      <c r="E68" s="75"/>
      <c r="F68" s="76"/>
      <c r="G68" s="74"/>
      <c r="H68" s="31"/>
      <c r="I68" s="74"/>
      <c r="J68" s="74"/>
      <c r="K68" s="78"/>
      <c r="L68" s="77"/>
      <c r="M68" s="77"/>
    </row>
    <row r="69" spans="1:13" ht="15" x14ac:dyDescent="0.15">
      <c r="A69" s="74"/>
      <c r="B69" s="74"/>
      <c r="C69" s="74"/>
      <c r="D69" s="75"/>
      <c r="E69" s="75"/>
      <c r="F69" s="76"/>
      <c r="G69" s="74"/>
      <c r="H69" s="31"/>
      <c r="I69" s="74"/>
      <c r="J69" s="74"/>
      <c r="K69" s="78"/>
      <c r="L69" s="77"/>
      <c r="M69" s="77"/>
    </row>
    <row r="70" spans="1:13" ht="15" x14ac:dyDescent="0.15">
      <c r="A70" s="74"/>
      <c r="B70" s="74"/>
      <c r="C70" s="74"/>
      <c r="D70" s="75"/>
      <c r="E70" s="75"/>
      <c r="F70" s="76"/>
      <c r="G70" s="74"/>
      <c r="H70" s="31"/>
      <c r="I70" s="74"/>
      <c r="J70" s="74"/>
      <c r="K70" s="78"/>
      <c r="L70" s="77"/>
      <c r="M70" s="77"/>
    </row>
    <row r="71" spans="1:13" ht="15" x14ac:dyDescent="0.15">
      <c r="A71" s="74"/>
      <c r="B71" s="74"/>
      <c r="C71" s="74"/>
      <c r="D71" s="75"/>
      <c r="E71" s="75"/>
      <c r="F71" s="76"/>
      <c r="G71" s="74"/>
      <c r="H71" s="31"/>
      <c r="I71" s="74"/>
      <c r="J71" s="74"/>
      <c r="K71" s="78"/>
      <c r="L71" s="77"/>
      <c r="M71" s="77"/>
    </row>
    <row r="72" spans="1:13" ht="15" x14ac:dyDescent="0.15">
      <c r="A72" s="74"/>
      <c r="B72" s="74"/>
      <c r="C72" s="74"/>
      <c r="D72" s="75"/>
      <c r="E72" s="75"/>
      <c r="F72" s="76"/>
      <c r="G72" s="74"/>
      <c r="H72" s="31"/>
      <c r="I72" s="74"/>
      <c r="J72" s="74"/>
      <c r="K72" s="78"/>
      <c r="L72" s="77"/>
      <c r="M72" s="77"/>
    </row>
    <row r="73" spans="1:13" ht="15" x14ac:dyDescent="0.15">
      <c r="A73" s="74"/>
      <c r="B73" s="74"/>
      <c r="C73" s="74"/>
      <c r="D73" s="75"/>
      <c r="E73" s="75"/>
      <c r="F73" s="76"/>
      <c r="G73" s="74"/>
      <c r="H73" s="31"/>
      <c r="I73" s="74"/>
      <c r="J73" s="74"/>
      <c r="K73" s="78"/>
      <c r="L73" s="77"/>
      <c r="M73" s="77"/>
    </row>
    <row r="74" spans="1:13" ht="15" x14ac:dyDescent="0.15">
      <c r="A74" s="74"/>
      <c r="B74" s="74"/>
      <c r="C74" s="74"/>
      <c r="D74" s="75"/>
      <c r="E74" s="75"/>
      <c r="F74" s="76"/>
      <c r="G74" s="74"/>
      <c r="H74" s="31"/>
      <c r="I74" s="74"/>
      <c r="J74" s="74"/>
      <c r="K74" s="78"/>
      <c r="L74" s="77"/>
      <c r="M74" s="77"/>
    </row>
    <row r="75" spans="1:13" ht="15" x14ac:dyDescent="0.15">
      <c r="A75" s="74"/>
      <c r="B75" s="74"/>
      <c r="C75" s="74"/>
      <c r="D75" s="75"/>
      <c r="E75" s="75"/>
      <c r="F75" s="76"/>
      <c r="G75" s="74"/>
      <c r="H75" s="31"/>
      <c r="I75" s="74"/>
      <c r="J75" s="74"/>
      <c r="K75" s="78"/>
      <c r="L75" s="77"/>
      <c r="M75" s="77"/>
    </row>
    <row r="76" spans="1:13" ht="15" x14ac:dyDescent="0.15">
      <c r="A76" s="74"/>
      <c r="B76" s="74"/>
      <c r="C76" s="74"/>
      <c r="D76" s="75"/>
      <c r="E76" s="75"/>
      <c r="F76" s="76"/>
      <c r="G76" s="74"/>
      <c r="H76" s="31"/>
      <c r="I76" s="74"/>
      <c r="J76" s="74"/>
      <c r="K76" s="78"/>
      <c r="L76" s="77"/>
      <c r="M76" s="77"/>
    </row>
    <row r="77" spans="1:13" ht="15" x14ac:dyDescent="0.15">
      <c r="A77" s="74"/>
      <c r="B77" s="74"/>
      <c r="C77" s="74"/>
      <c r="D77" s="75"/>
      <c r="E77" s="75"/>
      <c r="F77" s="76"/>
      <c r="G77" s="74"/>
      <c r="H77" s="31"/>
      <c r="I77" s="74"/>
      <c r="J77" s="74"/>
      <c r="K77" s="78"/>
      <c r="L77" s="77"/>
      <c r="M77" s="77"/>
    </row>
    <row r="78" spans="1:13" ht="15" x14ac:dyDescent="0.15">
      <c r="A78" s="74"/>
      <c r="B78" s="74"/>
      <c r="C78" s="74"/>
      <c r="D78" s="75"/>
      <c r="E78" s="75"/>
      <c r="F78" s="76"/>
      <c r="G78" s="74"/>
      <c r="H78" s="31"/>
      <c r="I78" s="74"/>
      <c r="J78" s="74"/>
      <c r="K78" s="78"/>
      <c r="L78" s="77"/>
      <c r="M78" s="77"/>
    </row>
    <row r="79" spans="1:13" ht="15" x14ac:dyDescent="0.15">
      <c r="A79" s="74"/>
      <c r="B79" s="74"/>
      <c r="C79" s="74"/>
      <c r="D79" s="75"/>
      <c r="E79" s="75"/>
      <c r="F79" s="76"/>
      <c r="G79" s="74"/>
      <c r="H79" s="31"/>
      <c r="I79" s="74"/>
      <c r="J79" s="74"/>
      <c r="K79" s="78"/>
      <c r="L79" s="77"/>
      <c r="M79" s="77"/>
    </row>
    <row r="80" spans="1:13" ht="15" x14ac:dyDescent="0.15">
      <c r="A80" s="74"/>
      <c r="B80" s="74"/>
      <c r="C80" s="74"/>
      <c r="D80" s="75"/>
      <c r="E80" s="75"/>
      <c r="F80" s="76"/>
      <c r="G80" s="74"/>
      <c r="H80" s="31"/>
      <c r="I80" s="74"/>
      <c r="J80" s="74"/>
      <c r="K80" s="78"/>
      <c r="L80" s="77"/>
      <c r="M80" s="77"/>
    </row>
    <row r="81" spans="1:13" ht="15" x14ac:dyDescent="0.15">
      <c r="A81" s="74"/>
      <c r="B81" s="74"/>
      <c r="C81" s="74"/>
      <c r="D81" s="75"/>
      <c r="E81" s="75"/>
      <c r="F81" s="76"/>
      <c r="G81" s="74"/>
      <c r="H81" s="31"/>
      <c r="I81" s="74"/>
      <c r="J81" s="74"/>
      <c r="K81" s="78"/>
      <c r="L81" s="77"/>
      <c r="M81" s="77"/>
    </row>
    <row r="82" spans="1:13" ht="15" x14ac:dyDescent="0.15">
      <c r="A82" s="74"/>
      <c r="B82" s="74"/>
      <c r="C82" s="74"/>
      <c r="D82" s="75"/>
      <c r="E82" s="75"/>
      <c r="F82" s="76"/>
      <c r="G82" s="74"/>
      <c r="H82" s="31"/>
      <c r="I82" s="74"/>
      <c r="J82" s="74"/>
      <c r="K82" s="78"/>
      <c r="L82" s="77"/>
      <c r="M82" s="77"/>
    </row>
    <row r="83" spans="1:13" ht="15" x14ac:dyDescent="0.15">
      <c r="A83" s="74"/>
      <c r="B83" s="74"/>
      <c r="C83" s="74"/>
      <c r="D83" s="75"/>
      <c r="E83" s="75"/>
      <c r="F83" s="76"/>
      <c r="G83" s="74"/>
      <c r="H83" s="31"/>
      <c r="I83" s="74"/>
      <c r="J83" s="74"/>
      <c r="K83" s="78"/>
      <c r="L83" s="77"/>
      <c r="M83" s="77"/>
    </row>
    <row r="84" spans="1:13" ht="15" x14ac:dyDescent="0.15">
      <c r="A84" s="74"/>
      <c r="B84" s="74"/>
      <c r="C84" s="74"/>
      <c r="D84" s="75"/>
      <c r="E84" s="75"/>
      <c r="F84" s="76"/>
      <c r="G84" s="74"/>
      <c r="H84" s="31"/>
      <c r="I84" s="74"/>
      <c r="J84" s="74"/>
      <c r="K84" s="78"/>
      <c r="L84" s="77"/>
      <c r="M84" s="77"/>
    </row>
    <row r="85" spans="1:13" ht="15" x14ac:dyDescent="0.15">
      <c r="A85" s="74"/>
      <c r="B85" s="74"/>
      <c r="C85" s="74"/>
      <c r="D85" s="75"/>
      <c r="E85" s="75"/>
      <c r="F85" s="76"/>
      <c r="G85" s="74"/>
      <c r="H85" s="31"/>
      <c r="I85" s="74"/>
      <c r="J85" s="74"/>
      <c r="K85" s="78"/>
      <c r="L85" s="77"/>
      <c r="M85" s="77"/>
    </row>
    <row r="86" spans="1:13" ht="15" x14ac:dyDescent="0.15">
      <c r="A86" s="74"/>
      <c r="B86" s="74"/>
      <c r="C86" s="74"/>
      <c r="D86" s="75"/>
      <c r="E86" s="75"/>
      <c r="F86" s="76"/>
      <c r="G86" s="74"/>
      <c r="H86" s="31"/>
      <c r="I86" s="74"/>
      <c r="J86" s="74"/>
      <c r="K86" s="78"/>
      <c r="L86" s="77"/>
      <c r="M86" s="77"/>
    </row>
    <row r="87" spans="1:13" ht="15" x14ac:dyDescent="0.15">
      <c r="A87" s="74"/>
      <c r="B87" s="74"/>
      <c r="C87" s="74"/>
      <c r="D87" s="75"/>
      <c r="E87" s="75"/>
      <c r="F87" s="76"/>
      <c r="G87" s="74"/>
      <c r="H87" s="31"/>
      <c r="I87" s="74"/>
      <c r="J87" s="74"/>
      <c r="K87" s="78"/>
      <c r="L87" s="77"/>
      <c r="M87" s="77"/>
    </row>
    <row r="88" spans="1:13" ht="15" x14ac:dyDescent="0.15">
      <c r="A88" s="74"/>
      <c r="B88" s="74"/>
      <c r="C88" s="74"/>
      <c r="D88" s="75"/>
      <c r="E88" s="75"/>
      <c r="F88" s="76"/>
      <c r="G88" s="74"/>
      <c r="H88" s="31"/>
      <c r="I88" s="74"/>
      <c r="J88" s="74"/>
      <c r="K88" s="78"/>
      <c r="L88" s="77"/>
      <c r="M88" s="77"/>
    </row>
    <row r="89" spans="1:13" ht="15" x14ac:dyDescent="0.15">
      <c r="A89" s="74"/>
      <c r="B89" s="74"/>
      <c r="C89" s="74"/>
      <c r="D89" s="75"/>
      <c r="E89" s="75"/>
      <c r="F89" s="76"/>
      <c r="G89" s="74"/>
      <c r="H89" s="31"/>
      <c r="I89" s="74"/>
      <c r="J89" s="74"/>
      <c r="K89" s="78"/>
      <c r="L89" s="77"/>
      <c r="M89" s="77"/>
    </row>
    <row r="90" spans="1:13" ht="15" x14ac:dyDescent="0.15">
      <c r="A90" s="74"/>
      <c r="B90" s="74"/>
      <c r="C90" s="74"/>
      <c r="D90" s="75"/>
      <c r="E90" s="75"/>
      <c r="F90" s="76"/>
      <c r="G90" s="74"/>
      <c r="H90" s="31"/>
      <c r="I90" s="74"/>
      <c r="J90" s="74"/>
      <c r="K90" s="78"/>
      <c r="L90" s="77"/>
      <c r="M90" s="77"/>
    </row>
    <row r="91" spans="1:13" ht="15" x14ac:dyDescent="0.15">
      <c r="A91" s="74"/>
      <c r="B91" s="74"/>
      <c r="C91" s="74"/>
      <c r="D91" s="75"/>
      <c r="E91" s="75"/>
      <c r="F91" s="76"/>
      <c r="G91" s="74"/>
      <c r="H91" s="31"/>
      <c r="I91" s="74"/>
      <c r="J91" s="74"/>
      <c r="K91" s="78"/>
      <c r="L91" s="77"/>
      <c r="M91" s="77"/>
    </row>
    <row r="92" spans="1:13" ht="15" x14ac:dyDescent="0.15">
      <c r="A92" s="74"/>
      <c r="B92" s="74"/>
      <c r="C92" s="74"/>
      <c r="D92" s="75"/>
      <c r="E92" s="75"/>
      <c r="F92" s="76"/>
      <c r="G92" s="74"/>
      <c r="H92" s="31"/>
      <c r="I92" s="74"/>
      <c r="J92" s="74"/>
      <c r="K92" s="78"/>
      <c r="L92" s="77"/>
      <c r="M92" s="77"/>
    </row>
    <row r="93" spans="1:13" ht="15" x14ac:dyDescent="0.15">
      <c r="A93" s="74"/>
      <c r="B93" s="74"/>
      <c r="C93" s="74"/>
      <c r="D93" s="75"/>
      <c r="E93" s="75"/>
      <c r="F93" s="76"/>
      <c r="G93" s="74"/>
      <c r="H93" s="31"/>
      <c r="I93" s="74"/>
      <c r="J93" s="74"/>
      <c r="K93" s="78"/>
      <c r="L93" s="77"/>
      <c r="M93" s="77"/>
    </row>
    <row r="94" spans="1:13" ht="15" x14ac:dyDescent="0.15">
      <c r="A94" s="74"/>
      <c r="B94" s="74"/>
      <c r="C94" s="74"/>
      <c r="D94" s="75"/>
      <c r="E94" s="75"/>
      <c r="F94" s="76"/>
      <c r="G94" s="74"/>
      <c r="H94" s="31"/>
      <c r="I94" s="74"/>
      <c r="J94" s="74"/>
      <c r="K94" s="78"/>
      <c r="L94" s="77"/>
      <c r="M94" s="77"/>
    </row>
    <row r="95" spans="1:13" ht="15" x14ac:dyDescent="0.15">
      <c r="A95" s="74"/>
      <c r="B95" s="74"/>
      <c r="C95" s="74"/>
      <c r="D95" s="75"/>
      <c r="E95" s="75"/>
      <c r="F95" s="76"/>
      <c r="G95" s="74"/>
      <c r="H95" s="31"/>
      <c r="I95" s="74"/>
      <c r="J95" s="74"/>
      <c r="K95" s="78"/>
      <c r="L95" s="77"/>
      <c r="M95" s="77"/>
    </row>
    <row r="96" spans="1:13" ht="15" x14ac:dyDescent="0.15">
      <c r="A96" s="74"/>
      <c r="B96" s="74"/>
      <c r="C96" s="74"/>
      <c r="D96" s="75"/>
      <c r="E96" s="75"/>
      <c r="F96" s="76"/>
      <c r="G96" s="74"/>
      <c r="H96" s="31"/>
      <c r="I96" s="74"/>
      <c r="J96" s="74"/>
      <c r="K96" s="78"/>
      <c r="L96" s="77"/>
      <c r="M96" s="77"/>
    </row>
    <row r="97" spans="1:13" ht="15" x14ac:dyDescent="0.15">
      <c r="A97" s="74"/>
      <c r="B97" s="74"/>
      <c r="C97" s="74"/>
      <c r="D97" s="75"/>
      <c r="E97" s="75"/>
      <c r="F97" s="76"/>
      <c r="G97" s="74"/>
      <c r="H97" s="31"/>
      <c r="I97" s="74"/>
      <c r="J97" s="74"/>
      <c r="K97" s="78"/>
      <c r="L97" s="77"/>
      <c r="M97" s="77"/>
    </row>
    <row r="98" spans="1:13" ht="15" x14ac:dyDescent="0.15">
      <c r="A98" s="74"/>
      <c r="B98" s="74"/>
      <c r="C98" s="74"/>
      <c r="D98" s="75"/>
      <c r="E98" s="75"/>
      <c r="F98" s="76"/>
      <c r="G98" s="74"/>
      <c r="H98" s="31"/>
      <c r="I98" s="74"/>
      <c r="J98" s="74"/>
      <c r="K98" s="78"/>
      <c r="L98" s="77"/>
      <c r="M98" s="77"/>
    </row>
    <row r="99" spans="1:13" ht="15" x14ac:dyDescent="0.15">
      <c r="A99" s="74"/>
      <c r="B99" s="74"/>
      <c r="C99" s="74"/>
      <c r="D99" s="75"/>
      <c r="E99" s="75"/>
      <c r="F99" s="76"/>
      <c r="G99" s="74"/>
      <c r="H99" s="31"/>
      <c r="I99" s="74"/>
      <c r="J99" s="74"/>
      <c r="K99" s="78"/>
      <c r="L99" s="77"/>
      <c r="M99" s="77"/>
    </row>
    <row r="100" spans="1:13" ht="15" x14ac:dyDescent="0.15">
      <c r="A100" s="74"/>
      <c r="B100" s="74"/>
      <c r="C100" s="74"/>
      <c r="D100" s="75"/>
      <c r="E100" s="75"/>
      <c r="F100" s="76"/>
      <c r="G100" s="74"/>
      <c r="H100" s="31"/>
      <c r="I100" s="74"/>
      <c r="J100" s="74"/>
      <c r="K100" s="78"/>
      <c r="L100" s="77"/>
      <c r="M100" s="77"/>
    </row>
    <row r="101" spans="1:13" ht="15" x14ac:dyDescent="0.15">
      <c r="A101" s="74"/>
      <c r="B101" s="74"/>
      <c r="C101" s="74"/>
      <c r="D101" s="75"/>
      <c r="E101" s="75"/>
      <c r="F101" s="76"/>
      <c r="G101" s="74"/>
      <c r="H101" s="31"/>
      <c r="I101" s="74"/>
      <c r="J101" s="74"/>
      <c r="K101" s="78"/>
      <c r="L101" s="77"/>
      <c r="M101" s="77"/>
    </row>
    <row r="102" spans="1:13" ht="15" x14ac:dyDescent="0.15">
      <c r="A102" s="74"/>
      <c r="B102" s="74"/>
      <c r="C102" s="74"/>
      <c r="D102" s="75"/>
      <c r="E102" s="75"/>
      <c r="F102" s="76"/>
      <c r="G102" s="74"/>
      <c r="H102" s="31"/>
      <c r="I102" s="74"/>
      <c r="J102" s="74"/>
      <c r="K102" s="78"/>
      <c r="L102" s="77"/>
      <c r="M102" s="77"/>
    </row>
    <row r="103" spans="1:13" ht="15" x14ac:dyDescent="0.15">
      <c r="A103" s="74"/>
      <c r="B103" s="74"/>
      <c r="C103" s="74"/>
      <c r="D103" s="75"/>
      <c r="E103" s="75"/>
      <c r="F103" s="76"/>
      <c r="G103" s="74"/>
      <c r="H103" s="31"/>
      <c r="I103" s="74"/>
      <c r="J103" s="74"/>
      <c r="K103" s="78"/>
      <c r="L103" s="77"/>
      <c r="M103" s="77"/>
    </row>
    <row r="104" spans="1:13" ht="15" x14ac:dyDescent="0.15">
      <c r="A104" s="74"/>
      <c r="B104" s="74"/>
      <c r="C104" s="74"/>
      <c r="D104" s="75"/>
      <c r="E104" s="75"/>
      <c r="F104" s="76"/>
      <c r="G104" s="74"/>
      <c r="H104" s="31"/>
      <c r="I104" s="74"/>
      <c r="J104" s="74"/>
      <c r="K104" s="78"/>
      <c r="L104" s="77"/>
      <c r="M104" s="77"/>
    </row>
    <row r="105" spans="1:13" ht="15" x14ac:dyDescent="0.15">
      <c r="A105" s="74"/>
      <c r="B105" s="74"/>
      <c r="C105" s="74"/>
      <c r="D105" s="75"/>
      <c r="E105" s="75"/>
      <c r="F105" s="76"/>
      <c r="G105" s="74"/>
      <c r="H105" s="31"/>
      <c r="I105" s="74"/>
      <c r="J105" s="74"/>
      <c r="K105" s="78"/>
      <c r="L105" s="77"/>
      <c r="M105" s="77"/>
    </row>
    <row r="106" spans="1:13" ht="15" x14ac:dyDescent="0.15">
      <c r="A106" s="74"/>
      <c r="B106" s="74"/>
      <c r="C106" s="74"/>
      <c r="D106" s="75"/>
      <c r="E106" s="75"/>
      <c r="F106" s="76"/>
      <c r="G106" s="74"/>
      <c r="H106" s="31"/>
      <c r="I106" s="74"/>
      <c r="J106" s="74"/>
      <c r="K106" s="78"/>
      <c r="L106" s="77"/>
      <c r="M106" s="77"/>
    </row>
    <row r="107" spans="1:13" ht="15" x14ac:dyDescent="0.15">
      <c r="A107" s="74"/>
      <c r="B107" s="74"/>
      <c r="C107" s="74"/>
      <c r="D107" s="75"/>
      <c r="E107" s="75"/>
      <c r="F107" s="76"/>
      <c r="G107" s="74"/>
      <c r="H107" s="31"/>
      <c r="I107" s="74"/>
      <c r="J107" s="74"/>
      <c r="K107" s="78"/>
      <c r="L107" s="77"/>
      <c r="M107" s="77"/>
    </row>
    <row r="108" spans="1:13" ht="15" x14ac:dyDescent="0.15">
      <c r="A108" s="74"/>
      <c r="B108" s="74"/>
      <c r="C108" s="74"/>
      <c r="D108" s="75"/>
      <c r="E108" s="75"/>
      <c r="F108" s="76"/>
      <c r="G108" s="74"/>
      <c r="H108" s="31"/>
      <c r="I108" s="74"/>
      <c r="J108" s="74"/>
      <c r="K108" s="78"/>
      <c r="L108" s="77"/>
      <c r="M108" s="77"/>
    </row>
    <row r="109" spans="1:13" ht="15" x14ac:dyDescent="0.15">
      <c r="A109" s="74"/>
      <c r="B109" s="74"/>
      <c r="C109" s="74"/>
      <c r="D109" s="75"/>
      <c r="E109" s="75"/>
      <c r="F109" s="76"/>
      <c r="G109" s="74"/>
      <c r="H109" s="31"/>
      <c r="I109" s="74"/>
      <c r="J109" s="74"/>
      <c r="K109" s="78"/>
      <c r="L109" s="77"/>
      <c r="M109" s="77"/>
    </row>
    <row r="110" spans="1:13" ht="15" x14ac:dyDescent="0.15">
      <c r="A110" s="74"/>
      <c r="B110" s="74"/>
      <c r="C110" s="74"/>
      <c r="D110" s="75"/>
      <c r="E110" s="75"/>
      <c r="F110" s="76"/>
      <c r="G110" s="74"/>
      <c r="H110" s="31"/>
      <c r="I110" s="74"/>
      <c r="J110" s="74"/>
      <c r="K110" s="78"/>
      <c r="L110" s="77"/>
      <c r="M110" s="77"/>
    </row>
    <row r="111" spans="1:13" ht="15" x14ac:dyDescent="0.15">
      <c r="A111" s="74"/>
      <c r="B111" s="74"/>
      <c r="C111" s="74"/>
      <c r="D111" s="75"/>
      <c r="E111" s="75"/>
      <c r="F111" s="76"/>
      <c r="G111" s="74"/>
      <c r="H111" s="31"/>
      <c r="I111" s="74"/>
      <c r="J111" s="74"/>
      <c r="K111" s="78"/>
      <c r="L111" s="77"/>
      <c r="M111" s="77"/>
    </row>
    <row r="112" spans="1:13" ht="15" x14ac:dyDescent="0.15">
      <c r="A112" s="74"/>
      <c r="B112" s="74"/>
      <c r="C112" s="74"/>
      <c r="D112" s="75"/>
      <c r="E112" s="75"/>
      <c r="F112" s="76"/>
      <c r="G112" s="74"/>
      <c r="H112" s="31"/>
      <c r="I112" s="74"/>
      <c r="J112" s="74"/>
      <c r="K112" s="78"/>
      <c r="L112" s="77"/>
      <c r="M112" s="77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2020-07-01T15:58:36Z</dcterms:modified>
</cp:coreProperties>
</file>