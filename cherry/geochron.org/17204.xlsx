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Apatite Fission Track/"/>
    </mc:Choice>
  </mc:AlternateContent>
  <xr:revisionPtr revIDLastSave="0" documentId="13_ncr:1_{19BD1B15-9DB5-3247-8995-1804CE8ABE71}" xr6:coauthVersionLast="46" xr6:coauthVersionMax="46" xr10:uidLastSave="{00000000-0000-0000-0000-000000000000}"/>
  <bookViews>
    <workbookView xWindow="16140" yWindow="460" windowWidth="17460" windowHeight="20540" activeTab="1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28" i="2" l="1"/>
  <c r="G29" i="2"/>
  <c r="G30" i="2"/>
  <c r="G31" i="2"/>
  <c r="A28" i="2"/>
  <c r="A29" i="2"/>
  <c r="A30" i="2"/>
  <c r="A3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<sst xmlns="http://schemas.openxmlformats.org/spreadsheetml/2006/main" count="195" uniqueCount="126">
  <si>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</si>
  <si>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</si>
  <si>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</si>
  <si>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</si>
  <si>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</si>
  <si>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</si>
  <si>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</si>
  <si>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</si>
  <si>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</si>
  <si>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</si>
  <si>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</si>
  <si>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</si>
  <si>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</si>
  <si>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</si>
  <si>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</si>
  <si>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</si>
  <si>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</si>
  <si>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</si>
  <si>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</si>
  <si>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</si>
  <si>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</si>
  <si>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</si>
  <si>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</si>
  <si>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</si>
  <si>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</si>
  <si>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</si>
  <si>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</si>
  <si>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</si>
  <si>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</si>
  <si>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</si>
  <si>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</si>
  <si>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</si>
  <si>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</si>
  <si>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</si>
  <si>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</si>
  <si>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</si>
  <si>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</si>
  <si>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</si>
  <si>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</si>
  <si>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</si>
  <si>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</si>
  <si>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</si>
  <si>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</si>
  <si>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</si>
  <si>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</si>
  <si>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</si>
  <si>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</si>
  <si>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</si>
  <si>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</si>
  <si>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</si>
  <si>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</si>
  <si>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</si>
  <si>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</si>
  <si>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</si>
  <si>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</si>
  <si>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</si>
  <si>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</si>
  <si>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</si>
  <si>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</si>
  <si>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</si>
  <si>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</si>
  <si>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</si>
  <si>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</si>
  <si>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</si>
  <si>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</si>
  <si>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</si>
  <si>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</si>
  <si>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</si>
  <si>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</si>
  <si>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</si>
  <si>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</si>
  <si>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</si>
  <si>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</si>
  <si>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</si>
  <si>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</si>
  <si>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</si>
  <si>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</si>
  <si>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</si>
  <si>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</si>
  <si>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</si>
  <si>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</si>
  <si>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</si>
  <si>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</si>
  <si>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</si>
  <si>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</si>
  <si>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</si>
  <si>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</si>
  <si>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</si>
  <si>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</si>
  <si>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</si>
  <si>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</si>
  <si>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</si>
  <si>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</si>
  <si>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</si>
  <si>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</si>
  <si>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</si>
  <si>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</si>
  <si>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</si>
  <si>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</si>
  <si>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</si>
  <si>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</si>
  <si>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</si>
  <si>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</si>
  <si>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</si>
  <si>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</si>
  <si>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</si>
  <si>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</si>
  <si>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</si>
  <si>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</si>
  <si>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</si>
  <si>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</si>
  <si>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</si>
  <si>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</si>
  <si>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</si>
  <si>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</si>
  <si>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</si>
  <si>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</si>
  <si>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</si>
  <si>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</si>
  <si>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</si>
  <si>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</si>
  <si>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</si>
  <si>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</si>
  <si>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</si>
  <si>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77-17</t>
  </si>
  <si>
    <t>IERMT0022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</si>
</sst>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opLeftCell="A19" zoomScale="130" zoomScaleNormal="130" workbookViewId="0">
      <selection activeCell="A70" sqref="A70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59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4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26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1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21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0">
        <v>988174.8251748248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0">
        <v>8780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18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1.6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1.6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77.86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20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2">
        <v>0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23.8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3.3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3">
        <v>3.3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20.7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2.6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3">
        <v>2.6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40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disablePrompts="1"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92"/>
  <sheetViews>
    <sheetView tabSelected="1" topLeftCell="F1" zoomScale="140" zoomScaleNormal="140" workbookViewId="0">
      <selection activeCell="K39" sqref="K39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4</v>
      </c>
      <c r="C11" s="39">
        <v>52</v>
      </c>
      <c r="D11" s="48">
        <v>1.7730092899153722</v>
      </c>
      <c r="E11" s="54">
        <v>148148.14814814815</v>
      </c>
      <c r="F11" s="54">
        <v>1925925.9259259261</v>
      </c>
      <c r="G11" s="48">
        <f>E11/F11</f>
        <v>7.6923076923076913E-2</v>
      </c>
      <c r="H11" s="54">
        <v>2.6999999999999999E-5</v>
      </c>
      <c r="I11" s="48">
        <v>29.234593062799348</v>
      </c>
      <c r="J11" s="48">
        <v>8.7527057723520443</v>
      </c>
      <c r="K11" s="48">
        <v>4.5814432079151599</v>
      </c>
      <c r="L11" s="48">
        <v>4.5814432079151599</v>
      </c>
    </row>
    <row r="12" spans="1:12" ht="12.75" customHeight="1" x14ac:dyDescent="0.15">
      <c r="A12" s="42">
        <v>2</v>
      </c>
      <c r="B12" s="39">
        <v>11</v>
      </c>
      <c r="C12" s="39">
        <v>43</v>
      </c>
      <c r="D12" s="48"/>
      <c r="E12" s="54">
        <v>523809.52380952385</v>
      </c>
      <c r="F12" s="54">
        <v>2047619.0476190478</v>
      </c>
      <c r="G12" s="48">
        <f t="shared" ref="G12:G35" si="0">E12/F12</f>
        <v>0.2558139534883721</v>
      </c>
      <c r="H12" s="54">
        <v>2.0999999999999999E-5</v>
      </c>
      <c r="I12" s="48">
        <v>31.081833833250954</v>
      </c>
      <c r="J12" s="48">
        <v>29.062004749985594</v>
      </c>
      <c r="K12" s="48">
        <v>10.021750157603801</v>
      </c>
      <c r="L12" s="48">
        <v>10.021750157603801</v>
      </c>
    </row>
    <row r="13" spans="1:12" ht="12.75" customHeight="1" x14ac:dyDescent="0.15">
      <c r="A13" s="42">
        <v>3</v>
      </c>
      <c r="B13" s="39">
        <v>16</v>
      </c>
      <c r="C13" s="39">
        <v>109</v>
      </c>
      <c r="D13" s="48">
        <v>1.7155147499616372</v>
      </c>
      <c r="E13" s="54">
        <v>432432.43243243243</v>
      </c>
      <c r="F13" s="54">
        <v>2945945.945945946</v>
      </c>
      <c r="G13" s="48">
        <f t="shared" si="0"/>
        <v>0.14678899082568805</v>
      </c>
      <c r="H13" s="54">
        <v>3.6999999999999998E-5</v>
      </c>
      <c r="I13" s="48">
        <v>44.717987205726857</v>
      </c>
      <c r="J13" s="48">
        <v>16.692127090440696</v>
      </c>
      <c r="K13" s="48">
        <v>4.6145273772974473</v>
      </c>
      <c r="L13" s="48">
        <v>4.6145273772974473</v>
      </c>
    </row>
    <row r="14" spans="1:12" ht="12.75" customHeight="1" x14ac:dyDescent="0.15">
      <c r="A14" s="42">
        <v>4</v>
      </c>
      <c r="B14" s="39">
        <v>23</v>
      </c>
      <c r="C14" s="39">
        <v>117</v>
      </c>
      <c r="D14" s="48">
        <v>1.704541148334604</v>
      </c>
      <c r="E14" s="54">
        <v>547619.04761904769</v>
      </c>
      <c r="F14" s="54">
        <v>2785714.2857142859</v>
      </c>
      <c r="G14" s="48">
        <f t="shared" si="0"/>
        <v>0.1965811965811966</v>
      </c>
      <c r="H14" s="54">
        <v>4.1999999999999998E-5</v>
      </c>
      <c r="I14" s="48">
        <v>42.285750680120486</v>
      </c>
      <c r="J14" s="48">
        <v>22.344452025269046</v>
      </c>
      <c r="K14" s="48">
        <v>5.3241343784266029</v>
      </c>
      <c r="L14" s="48">
        <v>5.3241343784266029</v>
      </c>
    </row>
    <row r="15" spans="1:12" ht="12.75" customHeight="1" x14ac:dyDescent="0.15">
      <c r="A15" s="42">
        <v>5</v>
      </c>
      <c r="B15" s="39">
        <v>9</v>
      </c>
      <c r="C15" s="39">
        <v>77</v>
      </c>
      <c r="D15" s="48">
        <v>1.6470011292890252</v>
      </c>
      <c r="E15" s="54">
        <v>360000.00000000006</v>
      </c>
      <c r="F15" s="54">
        <v>3080000.0000000005</v>
      </c>
      <c r="G15" s="48">
        <f t="shared" si="0"/>
        <v>0.11688311688311688</v>
      </c>
      <c r="H15" s="54">
        <v>2.4999999999999998E-5</v>
      </c>
      <c r="I15" s="48">
        <v>46.752860751969116</v>
      </c>
      <c r="J15" s="48">
        <v>13.294880689875377</v>
      </c>
      <c r="K15" s="48">
        <v>4.7722519180522074</v>
      </c>
      <c r="L15" s="48">
        <v>4.7722519180522074</v>
      </c>
    </row>
    <row r="16" spans="1:12" ht="12.75" customHeight="1" x14ac:dyDescent="0.15">
      <c r="A16" s="42">
        <v>6</v>
      </c>
      <c r="B16" s="39">
        <v>19</v>
      </c>
      <c r="C16" s="39">
        <v>96</v>
      </c>
      <c r="D16" s="48"/>
      <c r="E16" s="54">
        <v>452380.95238095243</v>
      </c>
      <c r="F16" s="54">
        <v>2285714.2857142859</v>
      </c>
      <c r="G16" s="48">
        <f t="shared" si="0"/>
        <v>0.19791666666666666</v>
      </c>
      <c r="H16" s="54">
        <v>4.1999999999999998E-5</v>
      </c>
      <c r="I16" s="48">
        <v>34.696000558047579</v>
      </c>
      <c r="J16" s="48">
        <v>22.495984062316086</v>
      </c>
      <c r="K16" s="48">
        <v>5.8575225699781024</v>
      </c>
      <c r="L16" s="48">
        <v>5.8575225699781024</v>
      </c>
    </row>
    <row r="17" spans="1:12" ht="12.75" customHeight="1" x14ac:dyDescent="0.15">
      <c r="A17" s="42">
        <v>7</v>
      </c>
      <c r="B17" s="39">
        <v>10</v>
      </c>
      <c r="C17" s="39">
        <v>16</v>
      </c>
      <c r="D17" s="48">
        <v>1.7946988023395634</v>
      </c>
      <c r="E17" s="54">
        <v>357142.85714285716</v>
      </c>
      <c r="F17" s="54">
        <v>571428.57142857148</v>
      </c>
      <c r="G17" s="48">
        <f t="shared" si="0"/>
        <v>0.625</v>
      </c>
      <c r="H17" s="54">
        <v>2.8E-5</v>
      </c>
      <c r="I17" s="48">
        <v>8.6740001395118949</v>
      </c>
      <c r="J17" s="48">
        <v>70.774155912357415</v>
      </c>
      <c r="K17" s="48">
        <v>28.943940659733045</v>
      </c>
      <c r="L17" s="48">
        <v>28.943940659733045</v>
      </c>
    </row>
    <row r="18" spans="1:12" ht="12.75" customHeight="1" x14ac:dyDescent="0.15">
      <c r="A18" s="42">
        <v>8</v>
      </c>
      <c r="B18" s="39">
        <v>25</v>
      </c>
      <c r="C18" s="39">
        <v>78</v>
      </c>
      <c r="D18" s="48">
        <v>1.4910651492315967</v>
      </c>
      <c r="E18" s="54">
        <v>595238.09523809527</v>
      </c>
      <c r="F18" s="54">
        <v>1857142.8571428573</v>
      </c>
      <c r="G18" s="48">
        <f t="shared" si="0"/>
        <v>0.32051282051282048</v>
      </c>
      <c r="H18" s="54">
        <v>4.1999999999999998E-5</v>
      </c>
      <c r="I18" s="48">
        <v>28.190500453413655</v>
      </c>
      <c r="J18" s="48">
        <v>36.391477112842537</v>
      </c>
      <c r="K18" s="48">
        <v>8.7317126439732249</v>
      </c>
      <c r="L18" s="48">
        <v>8.7317126439732249</v>
      </c>
    </row>
    <row r="19" spans="1:12" ht="12.75" customHeight="1" x14ac:dyDescent="0.15">
      <c r="A19" s="42">
        <v>9</v>
      </c>
      <c r="B19" s="39">
        <v>14</v>
      </c>
      <c r="C19" s="39">
        <v>187</v>
      </c>
      <c r="D19" s="48"/>
      <c r="E19" s="54">
        <v>333333.33333333337</v>
      </c>
      <c r="F19" s="54">
        <v>4452380.9523809524</v>
      </c>
      <c r="G19" s="48">
        <f t="shared" si="0"/>
        <v>7.4866310160427815E-2</v>
      </c>
      <c r="H19" s="54">
        <v>4.1999999999999998E-5</v>
      </c>
      <c r="I19" s="48">
        <v>67.584917753696843</v>
      </c>
      <c r="J19" s="48">
        <v>8.518830745440205</v>
      </c>
      <c r="K19" s="48">
        <v>2.4323624263825043</v>
      </c>
      <c r="L19" s="48">
        <v>2.4323624263825043</v>
      </c>
    </row>
    <row r="20" spans="1:12" ht="12.75" customHeight="1" x14ac:dyDescent="0.15">
      <c r="A20" s="42">
        <v>10</v>
      </c>
      <c r="B20" s="39">
        <v>16</v>
      </c>
      <c r="C20" s="39">
        <v>77</v>
      </c>
      <c r="D20" s="48">
        <v>1.6785240989729464</v>
      </c>
      <c r="E20" s="54">
        <v>761904.76190476189</v>
      </c>
      <c r="F20" s="54">
        <v>3666666.666666667</v>
      </c>
      <c r="G20" s="48">
        <f t="shared" si="0"/>
        <v>0.20779220779220778</v>
      </c>
      <c r="H20" s="54">
        <v>2.0999999999999999E-5</v>
      </c>
      <c r="I20" s="48">
        <v>55.658167561867991</v>
      </c>
      <c r="J20" s="48">
        <v>23.616423428531341</v>
      </c>
      <c r="K20" s="48">
        <v>6.6896175482071634</v>
      </c>
      <c r="L20" s="48">
        <v>6.6896175482071634</v>
      </c>
    </row>
    <row r="21" spans="1:12" ht="12.75" customHeight="1" x14ac:dyDescent="0.15">
      <c r="A21" s="42">
        <v>11</v>
      </c>
      <c r="B21" s="39">
        <v>26</v>
      </c>
      <c r="C21" s="39">
        <v>135</v>
      </c>
      <c r="D21" s="48"/>
      <c r="E21" s="54">
        <v>666666.66666666663</v>
      </c>
      <c r="F21" s="54">
        <v>3461538.4615384615</v>
      </c>
      <c r="G21" s="48">
        <f t="shared" si="0"/>
        <v>0.19259259259259259</v>
      </c>
      <c r="H21" s="54">
        <v>3.8999999999999999E-5</v>
      </c>
      <c r="I21" s="48">
        <v>52.544423922043201</v>
      </c>
      <c r="J21" s="48">
        <v>21.891855137612204</v>
      </c>
      <c r="K21" s="48">
        <v>4.9253690299043082</v>
      </c>
      <c r="L21" s="48">
        <v>4.9253690299043082</v>
      </c>
    </row>
    <row r="22" spans="1:12" ht="12.75" customHeight="1" x14ac:dyDescent="0.15">
      <c r="A22" s="42">
        <v>12</v>
      </c>
      <c r="B22" s="39">
        <v>20</v>
      </c>
      <c r="C22" s="39">
        <v>160</v>
      </c>
      <c r="D22" s="48"/>
      <c r="E22" s="54">
        <v>689655.17241379304</v>
      </c>
      <c r="F22" s="54">
        <v>5517241.3793103443</v>
      </c>
      <c r="G22" s="48">
        <f t="shared" si="0"/>
        <v>0.125</v>
      </c>
      <c r="H22" s="54">
        <v>2.9E-5</v>
      </c>
      <c r="I22" s="48">
        <v>83.748966864252765</v>
      </c>
      <c r="J22" s="48">
        <v>14.217119092882639</v>
      </c>
      <c r="K22" s="48">
        <v>3.5113671168936036</v>
      </c>
      <c r="L22" s="48">
        <v>3.5113671168936036</v>
      </c>
    </row>
    <row r="23" spans="1:12" ht="12.75" customHeight="1" x14ac:dyDescent="0.15">
      <c r="A23" s="42">
        <v>13</v>
      </c>
      <c r="B23" s="39">
        <v>14</v>
      </c>
      <c r="C23" s="39">
        <v>32</v>
      </c>
      <c r="D23" s="48"/>
      <c r="E23" s="54">
        <v>437500</v>
      </c>
      <c r="F23" s="54">
        <v>1000000</v>
      </c>
      <c r="G23" s="48">
        <f t="shared" si="0"/>
        <v>0.4375</v>
      </c>
      <c r="H23" s="54">
        <v>3.1999999999999999E-5</v>
      </c>
      <c r="I23" s="48">
        <v>15.179500244145814</v>
      </c>
      <c r="J23" s="48">
        <v>49.623363297076139</v>
      </c>
      <c r="K23" s="48">
        <v>16.264695481161631</v>
      </c>
      <c r="L23" s="48">
        <v>16.264695481161631</v>
      </c>
    </row>
    <row r="24" spans="1:12" ht="12.75" customHeight="1" x14ac:dyDescent="0.15">
      <c r="A24" s="42">
        <v>14</v>
      </c>
      <c r="B24" s="40">
        <v>21</v>
      </c>
      <c r="C24" s="40">
        <v>237</v>
      </c>
      <c r="D24" s="41">
        <v>1.9273202440465842</v>
      </c>
      <c r="E24" s="55">
        <v>262500</v>
      </c>
      <c r="F24" s="55">
        <v>2962500.0000000005</v>
      </c>
      <c r="G24" s="48">
        <f t="shared" si="0"/>
        <v>8.8607594936708847E-2</v>
      </c>
      <c r="H24" s="54">
        <v>7.9999999999999993E-5</v>
      </c>
      <c r="I24" s="41">
        <v>44.969269473281983</v>
      </c>
      <c r="J24" s="41">
        <v>10.081191787828843</v>
      </c>
      <c r="K24" s="41">
        <v>2.3981453376200341</v>
      </c>
      <c r="L24" s="41">
        <v>2.3981453376200341</v>
      </c>
    </row>
    <row r="25" spans="1:12" ht="12.75" customHeight="1" x14ac:dyDescent="0.15">
      <c r="A25" s="42">
        <v>15</v>
      </c>
      <c r="B25" s="40">
        <v>21</v>
      </c>
      <c r="C25" s="40">
        <v>63</v>
      </c>
      <c r="D25" s="41"/>
      <c r="E25" s="55">
        <v>500000</v>
      </c>
      <c r="F25" s="55">
        <v>1500000</v>
      </c>
      <c r="G25" s="48">
        <f t="shared" si="0"/>
        <v>0.33333333333333331</v>
      </c>
      <c r="H25" s="54">
        <v>4.1999999999999998E-5</v>
      </c>
      <c r="I25" s="41">
        <v>22.769250366218721</v>
      </c>
      <c r="J25" s="41">
        <v>37.842872439060251</v>
      </c>
      <c r="K25" s="41">
        <v>9.8857566998054853</v>
      </c>
      <c r="L25" s="41">
        <v>9.8857566998054853</v>
      </c>
    </row>
    <row r="26" spans="1:12" ht="12.75" customHeight="1" x14ac:dyDescent="0.15">
      <c r="A26" s="42">
        <v>16</v>
      </c>
      <c r="B26" s="40">
        <v>19</v>
      </c>
      <c r="C26" s="40">
        <v>115</v>
      </c>
      <c r="D26" s="41"/>
      <c r="E26" s="55">
        <v>863636.36363636365</v>
      </c>
      <c r="F26" s="55">
        <v>5227272.7272727275</v>
      </c>
      <c r="G26" s="48">
        <f t="shared" si="0"/>
        <v>0.16521739130434782</v>
      </c>
      <c r="H26" s="54">
        <v>2.1999999999999999E-5</v>
      </c>
      <c r="I26" s="41">
        <v>79.34738763985311</v>
      </c>
      <c r="J26" s="41">
        <v>18.784664833667676</v>
      </c>
      <c r="K26" s="41">
        <v>4.8286876019723932</v>
      </c>
      <c r="L26" s="41">
        <v>4.8286876019723932</v>
      </c>
    </row>
    <row r="27" spans="1:12" ht="12.75" customHeight="1" x14ac:dyDescent="0.15">
      <c r="A27" s="42">
        <v>17</v>
      </c>
      <c r="B27" s="40">
        <v>14</v>
      </c>
      <c r="C27" s="40">
        <v>78</v>
      </c>
      <c r="D27" s="41">
        <v>1.5302222214874768</v>
      </c>
      <c r="E27" s="55">
        <v>437500</v>
      </c>
      <c r="F27" s="55">
        <v>2437500</v>
      </c>
      <c r="G27" s="48">
        <f t="shared" si="0"/>
        <v>0.17948717948717949</v>
      </c>
      <c r="H27" s="54">
        <v>3.1999999999999999E-5</v>
      </c>
      <c r="I27" s="41">
        <v>37.000031845105418</v>
      </c>
      <c r="J27" s="41">
        <v>20.404527342674626</v>
      </c>
      <c r="K27" s="41">
        <v>6.0872216454078769</v>
      </c>
      <c r="L27" s="41">
        <v>6.0872216454078769</v>
      </c>
    </row>
    <row r="28" spans="1:12" ht="12.75" customHeight="1" x14ac:dyDescent="0.15">
      <c r="A28" s="42">
        <f>A27+1</f>
        <v>18</v>
      </c>
      <c r="B28" s="40">
        <v>31</v>
      </c>
      <c r="C28" s="40">
        <v>204</v>
      </c>
      <c r="D28" s="41">
        <v>2.0009086082863048</v>
      </c>
      <c r="E28" s="55">
        <v>516666.66666666669</v>
      </c>
      <c r="F28" s="55">
        <v>3400000.0000000005</v>
      </c>
      <c r="G28" s="48">
        <f t="shared" si="0"/>
        <v>0.15196078431372548</v>
      </c>
      <c r="H28" s="55">
        <v>5.9999999999999995E-5</v>
      </c>
      <c r="I28" s="41">
        <v>51.610300830095774</v>
      </c>
      <c r="J28" s="41">
        <v>17.279450795997171</v>
      </c>
      <c r="K28" s="41">
        <v>3.537435152330215</v>
      </c>
      <c r="L28" s="41">
        <v>3.537435152330215</v>
      </c>
    </row>
    <row r="29" spans="1:12" ht="12.75" customHeight="1" x14ac:dyDescent="0.15">
      <c r="A29" s="42">
        <f t="shared" ref="A29:A31" si="1">A28+1</f>
        <v>19</v>
      </c>
      <c r="B29" s="40">
        <v>30</v>
      </c>
      <c r="C29" s="40">
        <v>322</v>
      </c>
      <c r="D29" s="41"/>
      <c r="E29" s="55">
        <v>375000.00000000006</v>
      </c>
      <c r="F29" s="55">
        <v>4025000.0000000005</v>
      </c>
      <c r="G29" s="48">
        <f t="shared" si="0"/>
        <v>9.3167701863354047E-2</v>
      </c>
      <c r="H29" s="54">
        <v>7.9999999999999993E-5</v>
      </c>
      <c r="I29" s="41">
        <v>61.097488482686906</v>
      </c>
      <c r="J29" s="41">
        <v>10.599584645795032</v>
      </c>
      <c r="K29" s="41">
        <v>2.1511894098329631</v>
      </c>
      <c r="L29" s="41">
        <v>2.1511894098329631</v>
      </c>
    </row>
    <row r="30" spans="1:12" ht="12.75" customHeight="1" x14ac:dyDescent="0.15">
      <c r="A30" s="42">
        <f t="shared" si="1"/>
        <v>20</v>
      </c>
      <c r="B30" s="40">
        <v>15</v>
      </c>
      <c r="C30" s="40">
        <v>60</v>
      </c>
      <c r="D30" s="41"/>
      <c r="E30" s="55">
        <v>416666.66666666663</v>
      </c>
      <c r="F30" s="55">
        <v>1666666.6666666665</v>
      </c>
      <c r="G30" s="48">
        <f t="shared" si="0"/>
        <v>0.25</v>
      </c>
      <c r="H30" s="55">
        <v>3.6000000000000001E-5</v>
      </c>
      <c r="I30" s="41">
        <v>25.299167073576353</v>
      </c>
      <c r="J30" s="41">
        <v>28.402957333428457</v>
      </c>
      <c r="K30" s="41">
        <v>8.4296634762295444</v>
      </c>
      <c r="L30" s="41">
        <v>8.4296634762295444</v>
      </c>
    </row>
    <row r="31" spans="1:12" ht="12.75" customHeight="1" x14ac:dyDescent="0.15">
      <c r="A31" s="42">
        <f t="shared" si="1"/>
        <v>21</v>
      </c>
      <c r="B31" s="40">
        <v>18</v>
      </c>
      <c r="C31" s="40">
        <v>114</v>
      </c>
      <c r="D31" s="41"/>
      <c r="E31" s="55">
        <v>450000.00000000006</v>
      </c>
      <c r="F31" s="55">
        <v>2850000.0000000005</v>
      </c>
      <c r="G31" s="48">
        <f t="shared" si="0"/>
        <v>0.15789473684210525</v>
      </c>
      <c r="H31" s="55">
        <v>3.9999999999999996E-5</v>
      </c>
      <c r="I31" s="41">
        <v>43.26157569581558</v>
      </c>
      <c r="J31" s="41">
        <v>17.953261566038659</v>
      </c>
      <c r="K31" s="41">
        <v>4.7185805131962466</v>
      </c>
      <c r="L31" s="41">
        <v>4.7185805131962466</v>
      </c>
    </row>
    <row r="32" spans="1:12" ht="12.75" customHeight="1" x14ac:dyDescent="0.15">
      <c r="A32" s="40"/>
      <c r="B32" s="40"/>
      <c r="C32" s="40"/>
      <c r="D32" s="41"/>
      <c r="E32" s="55"/>
      <c r="F32" s="55"/>
      <c r="G32" s="48"/>
      <c r="H32" s="55"/>
      <c r="I32" s="41"/>
      <c r="J32" s="41"/>
      <c r="K32" s="41"/>
      <c r="L32" s="41"/>
    </row>
    <row r="33" spans="1:12" ht="12.75" customHeight="1" x14ac:dyDescent="0.15">
      <c r="A33" s="40"/>
      <c r="B33" s="40"/>
      <c r="C33" s="40"/>
      <c r="D33" s="41"/>
      <c r="E33" s="55"/>
      <c r="F33" s="55"/>
      <c r="G33" s="48"/>
      <c r="H33" s="55"/>
      <c r="I33" s="41"/>
      <c r="J33" s="41"/>
      <c r="K33" s="41"/>
      <c r="L33" s="41"/>
    </row>
    <row r="34" spans="1:12" ht="12.75" customHeight="1" x14ac:dyDescent="0.15">
      <c r="A34" s="40"/>
      <c r="B34" s="40"/>
      <c r="C34" s="40"/>
      <c r="D34" s="41"/>
      <c r="E34" s="55"/>
      <c r="F34" s="55"/>
      <c r="G34" s="48"/>
      <c r="H34" s="55"/>
      <c r="I34" s="41"/>
      <c r="J34" s="41"/>
      <c r="K34" s="41"/>
      <c r="L34" s="41"/>
    </row>
    <row r="35" spans="1:12" ht="12.75" customHeight="1" x14ac:dyDescent="0.15">
      <c r="A35" s="40"/>
      <c r="B35" s="40"/>
      <c r="C35" s="40"/>
      <c r="D35" s="41"/>
      <c r="E35" s="55"/>
      <c r="F35" s="55"/>
      <c r="G35" s="48"/>
      <c r="H35" s="55"/>
      <c r="I35" s="41"/>
      <c r="J35" s="41"/>
      <c r="K35" s="41"/>
      <c r="L35" s="41"/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2"/>
      <c r="B175" s="2"/>
      <c r="C175" s="2"/>
      <c r="D175" s="43"/>
      <c r="E175" s="50"/>
      <c r="F175" s="50"/>
      <c r="G175" s="43"/>
      <c r="H175" s="50"/>
      <c r="I175" s="43"/>
      <c r="J175" s="43"/>
      <c r="K175" s="43"/>
      <c r="L175" s="43"/>
    </row>
    <row r="176" spans="1:12" ht="12.75" customHeight="1" x14ac:dyDescent="0.15">
      <c r="A176" s="2"/>
      <c r="B176" s="2"/>
      <c r="C176" s="2"/>
      <c r="D176" s="43"/>
      <c r="E176" s="50"/>
      <c r="F176" s="50"/>
      <c r="G176" s="43"/>
      <c r="H176" s="50"/>
      <c r="I176" s="43"/>
      <c r="J176" s="43"/>
      <c r="K176" s="43"/>
      <c r="L176" s="43"/>
    </row>
    <row r="177" spans="1:12" ht="12.75" customHeight="1" x14ac:dyDescent="0.15">
      <c r="A177" s="2"/>
      <c r="B177" s="2"/>
      <c r="C177" s="2"/>
      <c r="D177" s="43"/>
      <c r="E177" s="50"/>
      <c r="F177" s="50"/>
      <c r="G177" s="43"/>
      <c r="H177" s="50"/>
      <c r="I177" s="43"/>
      <c r="J177" s="43"/>
      <c r="K177" s="43"/>
      <c r="L177" s="43"/>
    </row>
    <row r="178" spans="1:12" ht="12.75" customHeight="1" x14ac:dyDescent="0.15">
      <c r="A178" s="2"/>
      <c r="B178" s="2"/>
      <c r="C178" s="2"/>
      <c r="D178" s="43"/>
      <c r="E178" s="50"/>
      <c r="F178" s="50"/>
      <c r="G178" s="43"/>
      <c r="H178" s="50"/>
      <c r="I178" s="43"/>
      <c r="J178" s="43"/>
      <c r="K178" s="43"/>
      <c r="L178" s="43"/>
    </row>
    <row r="179" spans="1:12" ht="12.75" customHeight="1" x14ac:dyDescent="0.15">
      <c r="A179" s="2"/>
      <c r="B179" s="2"/>
      <c r="C179" s="2"/>
      <c r="D179" s="43"/>
      <c r="E179" s="50"/>
      <c r="F179" s="50"/>
      <c r="G179" s="43"/>
      <c r="H179" s="50"/>
      <c r="I179" s="43"/>
      <c r="J179" s="43"/>
      <c r="K179" s="43"/>
      <c r="L179" s="43"/>
    </row>
    <row r="180" spans="1:12" ht="12.75" customHeight="1" x14ac:dyDescent="0.15">
      <c r="A180" s="2"/>
      <c r="B180" s="2"/>
      <c r="C180" s="2"/>
      <c r="D180" s="43"/>
      <c r="E180" s="50"/>
      <c r="F180" s="50"/>
      <c r="G180" s="43"/>
      <c r="H180" s="50"/>
      <c r="I180" s="43"/>
      <c r="J180" s="43"/>
      <c r="K180" s="43"/>
      <c r="L180" s="43"/>
    </row>
    <row r="181" spans="1:12" ht="12.75" customHeight="1" x14ac:dyDescent="0.15">
      <c r="A181" s="2"/>
      <c r="B181" s="2"/>
      <c r="C181" s="2"/>
      <c r="D181" s="43"/>
      <c r="E181" s="50"/>
      <c r="F181" s="50"/>
      <c r="G181" s="43"/>
      <c r="H181" s="50"/>
      <c r="I181" s="43"/>
      <c r="J181" s="43"/>
      <c r="K181" s="43"/>
      <c r="L181" s="43"/>
    </row>
    <row r="182" spans="1:12" ht="12.75" customHeight="1" x14ac:dyDescent="0.15">
      <c r="A182" s="2"/>
      <c r="B182" s="2"/>
      <c r="C182" s="2"/>
      <c r="D182" s="43"/>
      <c r="E182" s="50"/>
      <c r="F182" s="50"/>
      <c r="G182" s="43"/>
      <c r="H182" s="50"/>
      <c r="I182" s="43"/>
      <c r="J182" s="43"/>
      <c r="K182" s="43"/>
      <c r="L182" s="43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selection activeCell="C26" sqref="C26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65"/>
      <c r="C9" s="65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7"/>
      <c r="C10" s="5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7"/>
      <c r="C11" s="5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7"/>
      <c r="C12" s="5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7"/>
      <c r="C13" s="5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7"/>
      <c r="C15" s="5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7"/>
      <c r="C16" s="5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7"/>
      <c r="C17" s="5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7"/>
      <c r="C18" s="5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7"/>
      <c r="C19" s="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7"/>
      <c r="C20" s="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7"/>
      <c r="C21" s="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7"/>
      <c r="C22" s="5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7"/>
      <c r="C23" s="5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7"/>
      <c r="C24" s="57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7"/>
      <c r="C25" s="57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7"/>
      <c r="C26" s="5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7"/>
      <c r="C27" s="5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7"/>
      <c r="C28" s="5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7"/>
      <c r="C29" s="57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7"/>
      <c r="C30" s="5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7"/>
      <c r="C31" s="57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7"/>
      <c r="C32" s="57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7"/>
      <c r="C33" s="57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7"/>
      <c r="C34" s="5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7"/>
      <c r="C35" s="5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7"/>
      <c r="C36" s="57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7"/>
      <c r="C37" s="5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7"/>
      <c r="C38" s="57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7"/>
      <c r="C39" s="5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7"/>
      <c r="C40" s="57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7"/>
      <c r="C41" s="5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7"/>
      <c r="C42" s="5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7"/>
      <c r="C43" s="5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7"/>
      <c r="C44" s="57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7"/>
      <c r="C45" s="57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7"/>
      <c r="C46" s="57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7"/>
      <c r="C47" s="5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7"/>
      <c r="C48" s="5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7"/>
      <c r="C49" s="5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7"/>
      <c r="C50" s="57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7"/>
      <c r="C51" s="5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7"/>
      <c r="C52" s="57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7"/>
      <c r="C53" s="5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7"/>
      <c r="C54" s="57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7"/>
      <c r="C55" s="57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7"/>
      <c r="C56" s="5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7"/>
      <c r="C57" s="5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7"/>
      <c r="C58" s="5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7"/>
      <c r="C59" s="5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7"/>
      <c r="C60" s="5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2021-05-24T12:59:26Z</dcterms:modified>
</cp:coreProperties>
</file>