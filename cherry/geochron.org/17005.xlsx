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lanienoury/Desktop/Manuscripts/Submitted/Ms_Saint-Martin20201011/GeochronDataRepositoryTemplate/"/>
    </mc:Choice>
  </mc:AlternateContent>
  <bookViews>
    <workbookView xWindow="-27040" yWindow="2140" windowWidth="28800" windowHeight="14860" tabRatio="444" activeTab="1"/>
  </bookViews>
  <sheets>
    <sheet name="Sample-Methods Worksheet" sheetId="2" r:id="rId1"/>
    <sheet name="Length Worksheet" sheetId="4" r:id="rId2"/>
    <sheet name="Age Worksheet" sheetId="3" r:id="rId3"/>
  </sheets>
  <definedNames>
    <definedName name="gauss">#REF!</definedName>
    <definedName name="_xlnm.Print_Area" localSheetId="2">'Age Worksheet'!$A$1:$L$33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1" i="3" l="1"/>
  <c r="N32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11" i="3"/>
  <c r="I31" i="3"/>
  <c r="I32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11" i="3"/>
  <c r="B25" i="2"/>
</calcChain>
</file>

<file path=xl/sharedStrings.xml><?xml version="1.0" encoding="utf-8"?>
<sst xmlns="http://schemas.openxmlformats.org/spreadsheetml/2006/main" count="536" uniqueCount="232">
  <si>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</si>
  <si>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</si>
  <si>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</si>
  <si>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</si>
  <si>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</si>
  <si>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</si>
  <si>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</si>
  <si>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</si>
  <si>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</si>
  <si>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</si>
  <si>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</si>
  <si>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</si>
  <si>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</si>
  <si>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</si>
  <si>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</si>
  <si>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</si>
  <si>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</si>
  <si>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</si>
  <si>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</si>
  <si>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</si>
  <si>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</si>
  <si>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</si>
  <si>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</si>
  <si>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</si>
  <si>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</si>
  <si>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</si>
  <si>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</si>
  <si>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</si>
  <si>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</si>
  <si>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</si>
  <si>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</si>
  <si>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</si>
  <si>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</si>
  <si>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</si>
  <si>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</si>
  <si>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</si>
  <si>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</si>
  <si>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</si>
  <si>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</si>
  <si>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</si>
  <si>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</si>
  <si>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</si>
  <si>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</si>
  <si>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</si>
  <si>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</si>
  <si>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</si>
  <si>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</si>
  <si>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</si>
  <si>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</si>
  <si>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</si>
  <si>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</si>
  <si>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</si>
  <si>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</si>
  <si>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</si>
  <si>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</si>
  <si>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</si>
  <si>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</si>
  <si>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</si>
  <si>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</si>
  <si>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</si>
  <si>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</si>
  <si>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</si>
  <si>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</si>
  <si>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</si>
  <si>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</si>
  <si>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</si>
  <si>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</si>
  <si>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</si>
  <si>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</si>
  <si>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</si>
  <si>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</si>
  <si>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</si>
  <si>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</si>
  <si>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</si>
  <si>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</si>
  <si>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</si>
  <si>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</si>
  <si>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</si>
  <si>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</si>
  <si>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</si>
  <si>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</si>
  <si>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</si>
  <si>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</si>
  <si>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</si>
  <si>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</si>
  <si>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</si>
  <si>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</si>
  <si>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</si>
  <si>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</si>
  <si>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</si>
  <si>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</si>
  <si>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</si>
  <si>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</si>
  <si>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</si>
  <si>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</si>
  <si>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</si>
  <si>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</si>
  <si>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</si>
  <si>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</si>
  <si>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</si>
  <si>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</si>
  <si>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</si>
  <si>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</si>
  <si>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</si>
  <si>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</si>
  <si>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</si>
  <si>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</si>
  <si>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</si>
  <si>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</si>
  <si>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</si>
  <si>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</si>
  <si>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</si>
  <si>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</si>
  <si>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</si>
  <si>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</si>
  <si>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</si>
  <si>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</si>
  <si>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</si>
  <si>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</si>
  <si>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</si>
  <si>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</si>
  <si>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</si>
  <si>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</si>
  <si>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</si>
  <si>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</si>
  <si>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</si>
  <si>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</si>
  <si>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</si>
  <si>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</si>
  <si>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</si>
  <si>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</si>
  <si>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</si>
  <si>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</si>
  <si>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</si>
  <si>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</si>
  <si>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</si>
  <si>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</si>
  <si>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</si>
  <si>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</si>
  <si>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</si>
  <si>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</si>
  <si>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</si>
  <si>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</si>
  <si>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</si>
  <si>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</si>
  <si>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</si>
  <si>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</si>
  <si>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</si>
  <si>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</si>
  <si>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</si>
  <si>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</si>
  <si>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</si>
  <si>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</si>
  <si>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</si>
  <si>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</si>
  <si>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</si>
  <si>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</si>
  <si>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</si>
  <si>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</si>
  <si>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</si>
  <si>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</si>
  <si>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</si>
  <si>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</si>
  <si>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</si>
  <si>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</si>
  <si>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</si>
  <si>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</si>
  <si>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</si>
  <si>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</si>
  <si>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</si>
  <si>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</si>
  <si>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</si>
  <si>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</si>
  <si>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</si>
  <si>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</si>
  <si>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</si>
  <si>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</si>
  <si>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</si>
  <si>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</si>
  <si>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</si>
  <si>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</si>
  <si>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</si>
  <si>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</si>
  <si>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</si>
  <si>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</si>
  <si>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</si>
  <si>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</si>
  <si>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</si>
  <si>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</si>
  <si>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</si>
  <si>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</si>
  <si>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</si>
  <si>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</si>
  <si>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</si>
  <si>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</si>
  <si>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 fission-track lab (Geo-Thermochronology Platform, Univ. Grenoble Alpes)</t>
  </si>
  <si>
    <t>Mélanie Noury</t>
  </si>
  <si>
    <t>apatite</t>
  </si>
  <si>
    <t>ISTerre-1-2017</t>
  </si>
  <si>
    <t>Saint-Martin island</t>
  </si>
  <si>
    <t>granodiorite</t>
  </si>
  <si>
    <t>Oligocene</t>
  </si>
  <si>
    <t>Olympus BX51</t>
  </si>
  <si>
    <t>1250x</t>
  </si>
  <si>
    <t>FRM II reactor, Garching, Germany</t>
  </si>
  <si>
    <t>4.5x10^15 n/cm^2</t>
  </si>
  <si>
    <t>277.3</t>
  </si>
  <si>
    <t>15.9</t>
  </si>
  <si>
    <t>8404</t>
  </si>
  <si>
    <t>0.5</t>
  </si>
  <si>
    <t xml:space="preserve">5.5 mol HNO3 </t>
  </si>
  <si>
    <t>21°C, 20s</t>
  </si>
  <si>
    <t>EDM</t>
  </si>
  <si>
    <t>Zeta was determined using FCT and Durango age standards</t>
  </si>
  <si>
    <t>IRMM540R</t>
  </si>
  <si>
    <t>15</t>
  </si>
  <si>
    <t>central</t>
  </si>
  <si>
    <t>cm^2</t>
  </si>
  <si>
    <t>IEMNX0002</t>
  </si>
  <si>
    <t>21</t>
  </si>
  <si>
    <t>22</t>
  </si>
  <si>
    <t>1242000</t>
  </si>
  <si>
    <t>1.20</t>
  </si>
  <si>
    <t>18.4</t>
  </si>
  <si>
    <t>3.4</t>
  </si>
  <si>
    <t>20.2</t>
  </si>
  <si>
    <t>2.8</t>
  </si>
  <si>
    <t>2.6</t>
  </si>
  <si>
    <t>0</t>
  </si>
  <si>
    <t>SM15-09_aft</t>
  </si>
  <si>
    <t>46</t>
  </si>
  <si>
    <t>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</si>
</sst>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E+00"/>
    <numFmt numFmtId="167" formatCode="0.0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167" fontId="2" fillId="0" borderId="0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Protection="1">
      <protection locked="0"/>
    </xf>
    <xf numFmtId="0" fontId="10" fillId="0" borderId="0" xfId="0" applyFont="1" applyAlignment="1">
      <alignment horizontal="center" vertical="center"/>
    </xf>
  </cellXfs>
  <cellStyles count="36">
    <cellStyle name="Excel Built-in Normal" xfId="1"/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60" workbookViewId="0">
      <selection activeCell="B86" sqref="B86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191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229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218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195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197</v>
      </c>
      <c r="C12" s="3" t="s">
        <v>11</v>
      </c>
      <c r="Q12" s="14"/>
    </row>
    <row r="13" spans="1:17" x14ac:dyDescent="0.15">
      <c r="A13" s="14" t="s">
        <v>21</v>
      </c>
      <c r="B13" s="60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198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/>
      <c r="C16" s="3" t="s">
        <v>11</v>
      </c>
      <c r="D16" s="4"/>
      <c r="E16" s="5"/>
    </row>
    <row r="17" spans="1:5" x14ac:dyDescent="0.15">
      <c r="A17" s="14" t="s">
        <v>27</v>
      </c>
      <c r="B17" s="60" t="s">
        <v>199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200</v>
      </c>
      <c r="C18" s="3" t="s">
        <v>11</v>
      </c>
      <c r="D18" s="4"/>
      <c r="E18" s="5"/>
    </row>
    <row r="19" spans="1:5" x14ac:dyDescent="0.15">
      <c r="A19" s="14" t="s">
        <v>29</v>
      </c>
      <c r="B19" s="60" t="s">
        <v>201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202</v>
      </c>
      <c r="C20" s="3" t="s">
        <v>11</v>
      </c>
      <c r="D20" s="4"/>
      <c r="E20" s="5" t="s">
        <v>185</v>
      </c>
    </row>
    <row r="21" spans="1:5" x14ac:dyDescent="0.15">
      <c r="A21" s="14" t="s">
        <v>32</v>
      </c>
      <c r="B21" s="60" t="s">
        <v>203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204</v>
      </c>
      <c r="C22" s="3" t="s">
        <v>11</v>
      </c>
      <c r="D22" s="4"/>
      <c r="E22" s="5"/>
    </row>
    <row r="23" spans="1:5" x14ac:dyDescent="0.15">
      <c r="A23" s="14" t="s">
        <v>34</v>
      </c>
      <c r="B23" s="60" t="s">
        <v>205</v>
      </c>
      <c r="C23" s="3" t="s">
        <v>11</v>
      </c>
      <c r="D23" s="4"/>
      <c r="E23" s="5"/>
    </row>
    <row r="24" spans="1:5" x14ac:dyDescent="0.15">
      <c r="A24" s="14" t="s">
        <v>35</v>
      </c>
      <c r="B24" s="60" t="s">
        <v>219</v>
      </c>
      <c r="C24" s="3" t="s">
        <v>23</v>
      </c>
      <c r="D24" s="4"/>
      <c r="E24" s="5"/>
    </row>
    <row r="25" spans="1:5" x14ac:dyDescent="0.15">
      <c r="A25" s="14" t="s">
        <v>36</v>
      </c>
      <c r="B25" s="86">
        <f>6.39*10^-7</f>
        <v>6.3899999999999994E-7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220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206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207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221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222</v>
      </c>
      <c r="C30" s="3" t="s">
        <v>23</v>
      </c>
      <c r="D30" s="4"/>
      <c r="E30" s="5"/>
    </row>
    <row r="31" spans="1:5" x14ac:dyDescent="0.15">
      <c r="A31" s="14" t="s">
        <v>43</v>
      </c>
      <c r="B31" s="60" t="s">
        <v>208</v>
      </c>
      <c r="C31" s="3" t="s">
        <v>23</v>
      </c>
      <c r="D31" s="4"/>
      <c r="E31" s="5"/>
    </row>
    <row r="32" spans="1:5" x14ac:dyDescent="0.15">
      <c r="A32" s="3" t="s">
        <v>44</v>
      </c>
      <c r="B32" s="60" t="s">
        <v>209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210</v>
      </c>
      <c r="C33" s="3" t="s">
        <v>11</v>
      </c>
      <c r="E33" s="5"/>
    </row>
    <row r="34" spans="1:5" x14ac:dyDescent="0.15">
      <c r="A34" s="3" t="s">
        <v>47</v>
      </c>
      <c r="B34" s="60" t="s">
        <v>211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212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 t="s">
        <v>213</v>
      </c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164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165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216</v>
      </c>
      <c r="C79" s="3" t="s">
        <v>11</v>
      </c>
      <c r="E79" s="5" t="s">
        <v>186</v>
      </c>
    </row>
    <row r="80" spans="1:18" x14ac:dyDescent="0.15">
      <c r="A80" s="3" t="s">
        <v>97</v>
      </c>
      <c r="B80" s="64" t="s">
        <v>223</v>
      </c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173</v>
      </c>
      <c r="B81" s="70" t="s">
        <v>224</v>
      </c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174</v>
      </c>
      <c r="B82" s="74" t="s">
        <v>224</v>
      </c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171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169</v>
      </c>
      <c r="B84" s="70"/>
      <c r="C84" s="77" t="s">
        <v>23</v>
      </c>
      <c r="D84" s="50"/>
      <c r="E84" s="79" t="s">
        <v>172</v>
      </c>
      <c r="F84" s="80"/>
      <c r="G84" s="80"/>
    </row>
    <row r="85" spans="1:18" s="68" customFormat="1" x14ac:dyDescent="0.15">
      <c r="A85" s="77" t="s">
        <v>170</v>
      </c>
      <c r="B85" s="74" t="s">
        <v>230</v>
      </c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 t="s">
        <v>225</v>
      </c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175</v>
      </c>
      <c r="B87" s="70" t="s">
        <v>226</v>
      </c>
      <c r="C87" s="73" t="s">
        <v>23</v>
      </c>
      <c r="D87" s="75" t="s">
        <v>180</v>
      </c>
      <c r="E87" s="76" t="s">
        <v>177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176</v>
      </c>
      <c r="B88" s="74" t="s">
        <v>226</v>
      </c>
      <c r="C88" s="73" t="s">
        <v>23</v>
      </c>
      <c r="D88" s="75" t="s">
        <v>180</v>
      </c>
      <c r="E88" s="76" t="s">
        <v>177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 t="s">
        <v>223</v>
      </c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178</v>
      </c>
      <c r="B90" s="70" t="s">
        <v>227</v>
      </c>
      <c r="C90" s="73" t="s">
        <v>23</v>
      </c>
      <c r="D90" s="75" t="s">
        <v>180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179</v>
      </c>
      <c r="B91" s="74" t="s">
        <v>227</v>
      </c>
      <c r="C91" s="73" t="s">
        <v>23</v>
      </c>
      <c r="D91" s="75" t="s">
        <v>180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 t="s">
        <v>228</v>
      </c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180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180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181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192</v>
      </c>
      <c r="B99" s="78"/>
      <c r="C99" s="77" t="s">
        <v>11</v>
      </c>
      <c r="D99" s="50"/>
      <c r="E99" s="79" t="s">
        <v>193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187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173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174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171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169</v>
      </c>
      <c r="B107" s="74"/>
      <c r="C107" s="77" t="s">
        <v>23</v>
      </c>
      <c r="D107" s="50"/>
      <c r="E107" s="79" t="s">
        <v>172</v>
      </c>
      <c r="F107" s="80"/>
      <c r="G107" s="80"/>
    </row>
    <row r="108" spans="1:7" x14ac:dyDescent="0.15">
      <c r="A108" s="77" t="s">
        <v>170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175</v>
      </c>
      <c r="B110" s="74"/>
      <c r="C110" s="73" t="s">
        <v>23</v>
      </c>
      <c r="D110" s="75" t="s">
        <v>180</v>
      </c>
      <c r="E110" s="76" t="s">
        <v>177</v>
      </c>
      <c r="F110" s="76"/>
      <c r="G110" s="80"/>
    </row>
    <row r="111" spans="1:7" x14ac:dyDescent="0.15">
      <c r="A111" s="73" t="s">
        <v>176</v>
      </c>
      <c r="B111" s="74"/>
      <c r="C111" s="73" t="s">
        <v>23</v>
      </c>
      <c r="D111" s="75" t="s">
        <v>180</v>
      </c>
      <c r="E111" s="76" t="s">
        <v>177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178</v>
      </c>
      <c r="B113" s="74"/>
      <c r="C113" s="73" t="s">
        <v>23</v>
      </c>
      <c r="D113" s="75" t="s">
        <v>180</v>
      </c>
      <c r="E113" s="76" t="s">
        <v>106</v>
      </c>
      <c r="F113" s="76"/>
      <c r="G113" s="80"/>
    </row>
    <row r="114" spans="1:7" x14ac:dyDescent="0.15">
      <c r="A114" s="73" t="s">
        <v>179</v>
      </c>
      <c r="B114" s="74"/>
      <c r="C114" s="73" t="s">
        <v>23</v>
      </c>
      <c r="D114" s="75" t="s">
        <v>180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180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180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/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181</v>
      </c>
      <c r="E120" s="79" t="s">
        <v>118</v>
      </c>
      <c r="F120" s="80"/>
      <c r="G120" s="80"/>
    </row>
    <row r="121" spans="1:7" x14ac:dyDescent="0.15">
      <c r="A121" s="77" t="s">
        <v>182</v>
      </c>
      <c r="B121" s="78"/>
      <c r="C121" s="77" t="s">
        <v>11</v>
      </c>
      <c r="D121" s="50"/>
      <c r="E121" s="79" t="s">
        <v>183</v>
      </c>
      <c r="F121" s="80"/>
      <c r="G121" s="80"/>
    </row>
    <row r="122" spans="1:7" x14ac:dyDescent="0.15">
      <c r="A122" s="77" t="s">
        <v>192</v>
      </c>
      <c r="B122" s="78"/>
      <c r="C122" s="77" t="s">
        <v>11</v>
      </c>
      <c r="D122" s="50"/>
      <c r="E122" s="79" t="s">
        <v>193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187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173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174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171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169</v>
      </c>
      <c r="B130" s="74"/>
      <c r="C130" s="77" t="s">
        <v>23</v>
      </c>
      <c r="D130" s="50"/>
      <c r="E130" s="79" t="s">
        <v>172</v>
      </c>
      <c r="F130" s="80"/>
      <c r="G130" s="80"/>
    </row>
    <row r="131" spans="1:7" x14ac:dyDescent="0.15">
      <c r="A131" s="77" t="s">
        <v>170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175</v>
      </c>
      <c r="B133" s="74"/>
      <c r="C133" s="73" t="s">
        <v>23</v>
      </c>
      <c r="D133" s="75" t="s">
        <v>180</v>
      </c>
      <c r="E133" s="76" t="s">
        <v>177</v>
      </c>
      <c r="F133" s="80"/>
      <c r="G133" s="80"/>
    </row>
    <row r="134" spans="1:7" x14ac:dyDescent="0.15">
      <c r="A134" s="73" t="s">
        <v>176</v>
      </c>
      <c r="B134" s="74"/>
      <c r="C134" s="73" t="s">
        <v>23</v>
      </c>
      <c r="D134" s="75" t="s">
        <v>180</v>
      </c>
      <c r="E134" s="76" t="s">
        <v>177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178</v>
      </c>
      <c r="B136" s="74"/>
      <c r="C136" s="73" t="s">
        <v>23</v>
      </c>
      <c r="D136" s="75" t="s">
        <v>180</v>
      </c>
      <c r="E136" s="76" t="s">
        <v>106</v>
      </c>
      <c r="F136" s="80"/>
      <c r="G136" s="80"/>
    </row>
    <row r="137" spans="1:7" x14ac:dyDescent="0.15">
      <c r="A137" s="73" t="s">
        <v>179</v>
      </c>
      <c r="B137" s="74"/>
      <c r="C137" s="73" t="s">
        <v>23</v>
      </c>
      <c r="D137" s="75" t="s">
        <v>180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180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180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181</v>
      </c>
      <c r="E143" s="79" t="s">
        <v>118</v>
      </c>
      <c r="F143" s="77"/>
      <c r="G143" s="82"/>
    </row>
    <row r="144" spans="1:7" x14ac:dyDescent="0.15">
      <c r="A144" s="77" t="s">
        <v>182</v>
      </c>
      <c r="B144" s="78"/>
      <c r="C144" s="77" t="s">
        <v>11</v>
      </c>
      <c r="D144" s="50"/>
      <c r="E144" s="79" t="s">
        <v>183</v>
      </c>
      <c r="F144" s="77"/>
      <c r="G144" s="80"/>
    </row>
    <row r="145" spans="1:7" x14ac:dyDescent="0.15">
      <c r="A145" s="80" t="s">
        <v>192</v>
      </c>
      <c r="B145" s="77"/>
      <c r="C145" s="80" t="s">
        <v>11</v>
      </c>
      <c r="D145" s="80"/>
      <c r="E145" s="79" t="s">
        <v>193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188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abSelected="1" topLeftCell="A12" workbookViewId="0">
      <selection activeCell="E9" sqref="E9:E46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156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157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158</v>
      </c>
      <c r="C8" s="54" t="s">
        <v>159</v>
      </c>
      <c r="D8" s="54" t="s">
        <v>147</v>
      </c>
      <c r="E8" s="54" t="s">
        <v>184</v>
      </c>
      <c r="F8" s="54" t="s">
        <v>160</v>
      </c>
      <c r="G8" s="54" t="s">
        <v>161</v>
      </c>
      <c r="H8" s="54" t="s">
        <v>162</v>
      </c>
      <c r="I8" s="54" t="s">
        <v>163</v>
      </c>
    </row>
    <row r="9" spans="1:9" ht="16" x14ac:dyDescent="0.15">
      <c r="A9" s="56">
        <v>100</v>
      </c>
      <c r="B9" s="96">
        <v>9.9600000000000009</v>
      </c>
      <c r="C9" s="96">
        <v>55</v>
      </c>
      <c r="D9" s="96">
        <v>3.3</v>
      </c>
      <c r="E9" s="56" t="s">
        <v>231</v>
      </c>
      <c r="F9" s="56"/>
      <c r="G9" s="56"/>
      <c r="H9" s="56"/>
      <c r="I9" s="56"/>
    </row>
    <row r="10" spans="1:9" ht="16" x14ac:dyDescent="0.15">
      <c r="A10" s="56">
        <v>100</v>
      </c>
      <c r="B10" s="96">
        <v>14.62</v>
      </c>
      <c r="C10" s="96">
        <v>67</v>
      </c>
      <c r="D10" s="96">
        <v>3.3</v>
      </c>
      <c r="E10" s="56" t="s">
        <v>231</v>
      </c>
      <c r="F10" s="56"/>
      <c r="G10" s="56"/>
      <c r="H10" s="56"/>
      <c r="I10" s="56"/>
    </row>
    <row r="11" spans="1:9" ht="16" x14ac:dyDescent="0.15">
      <c r="A11" s="56">
        <v>100</v>
      </c>
      <c r="B11" s="96">
        <v>13.41</v>
      </c>
      <c r="C11" s="96">
        <v>44</v>
      </c>
      <c r="D11" s="96">
        <v>3.3</v>
      </c>
      <c r="E11" s="56" t="s">
        <v>231</v>
      </c>
      <c r="F11" s="56"/>
      <c r="G11" s="56"/>
      <c r="H11" s="56"/>
      <c r="I11" s="56"/>
    </row>
    <row r="12" spans="1:9" ht="16" x14ac:dyDescent="0.15">
      <c r="A12" s="56">
        <v>100</v>
      </c>
      <c r="B12" s="96">
        <v>10.23</v>
      </c>
      <c r="C12" s="96">
        <v>66</v>
      </c>
      <c r="D12" s="96">
        <v>3.3</v>
      </c>
      <c r="E12" s="56" t="s">
        <v>231</v>
      </c>
      <c r="F12" s="56"/>
      <c r="G12" s="56"/>
      <c r="H12" s="56"/>
      <c r="I12" s="56"/>
    </row>
    <row r="13" spans="1:9" ht="16" x14ac:dyDescent="0.15">
      <c r="A13" s="56">
        <v>100</v>
      </c>
      <c r="B13" s="96">
        <v>13.75</v>
      </c>
      <c r="C13" s="96">
        <v>31</v>
      </c>
      <c r="D13" s="96">
        <v>3.3</v>
      </c>
      <c r="E13" s="56" t="s">
        <v>231</v>
      </c>
      <c r="F13" s="56"/>
      <c r="G13" s="56"/>
      <c r="H13" s="56"/>
      <c r="I13" s="56"/>
    </row>
    <row r="14" spans="1:9" ht="16" x14ac:dyDescent="0.15">
      <c r="A14" s="56">
        <v>100</v>
      </c>
      <c r="B14" s="96">
        <v>12.57</v>
      </c>
      <c r="C14" s="96">
        <v>64</v>
      </c>
      <c r="D14" s="96">
        <v>3.3</v>
      </c>
      <c r="E14" s="56" t="s">
        <v>231</v>
      </c>
      <c r="F14" s="56"/>
      <c r="G14" s="56"/>
      <c r="H14" s="56"/>
      <c r="I14" s="56"/>
    </row>
    <row r="15" spans="1:9" ht="16" x14ac:dyDescent="0.15">
      <c r="A15" s="56">
        <v>100</v>
      </c>
      <c r="B15" s="96">
        <v>14.66</v>
      </c>
      <c r="C15" s="96">
        <v>76</v>
      </c>
      <c r="D15" s="96">
        <v>3.3</v>
      </c>
      <c r="E15" s="56" t="s">
        <v>231</v>
      </c>
      <c r="F15" s="56"/>
      <c r="G15" s="56"/>
      <c r="H15" s="56"/>
      <c r="I15" s="56"/>
    </row>
    <row r="16" spans="1:9" ht="16" x14ac:dyDescent="0.15">
      <c r="A16" s="56">
        <v>100</v>
      </c>
      <c r="B16" s="96">
        <v>15.8</v>
      </c>
      <c r="C16" s="96">
        <v>67</v>
      </c>
      <c r="D16" s="96">
        <v>3.3</v>
      </c>
      <c r="E16" s="56" t="s">
        <v>231</v>
      </c>
      <c r="F16" s="56"/>
      <c r="G16" s="56"/>
      <c r="H16" s="56"/>
      <c r="I16" s="56"/>
    </row>
    <row r="17" spans="1:9" ht="16" x14ac:dyDescent="0.15">
      <c r="A17" s="56">
        <v>100</v>
      </c>
      <c r="B17" s="96">
        <v>14.85</v>
      </c>
      <c r="C17" s="96">
        <v>35</v>
      </c>
      <c r="D17" s="96">
        <v>3.3</v>
      </c>
      <c r="E17" s="56" t="s">
        <v>231</v>
      </c>
      <c r="F17" s="56"/>
      <c r="G17" s="56"/>
      <c r="H17" s="56"/>
      <c r="I17" s="56"/>
    </row>
    <row r="18" spans="1:9" ht="16" x14ac:dyDescent="0.15">
      <c r="A18" s="56">
        <v>100</v>
      </c>
      <c r="B18" s="96">
        <v>16.100000000000001</v>
      </c>
      <c r="C18" s="96">
        <v>83</v>
      </c>
      <c r="D18" s="96">
        <v>3.3</v>
      </c>
      <c r="E18" s="56" t="s">
        <v>231</v>
      </c>
      <c r="F18" s="56"/>
      <c r="G18" s="56"/>
      <c r="H18" s="56"/>
      <c r="I18" s="56"/>
    </row>
    <row r="19" spans="1:9" ht="16" x14ac:dyDescent="0.15">
      <c r="A19" s="56">
        <v>100</v>
      </c>
      <c r="B19" s="96">
        <v>15.13</v>
      </c>
      <c r="C19" s="96">
        <v>67</v>
      </c>
      <c r="D19" s="96">
        <v>3.3</v>
      </c>
      <c r="E19" s="56" t="s">
        <v>231</v>
      </c>
      <c r="F19" s="56"/>
      <c r="G19" s="56"/>
      <c r="H19" s="56"/>
      <c r="I19" s="56"/>
    </row>
    <row r="20" spans="1:9" ht="16" x14ac:dyDescent="0.15">
      <c r="A20" s="56">
        <v>100</v>
      </c>
      <c r="B20" s="96">
        <v>15.14</v>
      </c>
      <c r="C20" s="96">
        <v>54</v>
      </c>
      <c r="D20" s="96">
        <v>3.3</v>
      </c>
      <c r="E20" s="56" t="s">
        <v>231</v>
      </c>
      <c r="F20" s="56"/>
      <c r="G20" s="56"/>
      <c r="H20" s="56"/>
      <c r="I20" s="56"/>
    </row>
    <row r="21" spans="1:9" ht="16" x14ac:dyDescent="0.15">
      <c r="A21" s="56">
        <v>100</v>
      </c>
      <c r="B21" s="96">
        <v>13.4</v>
      </c>
      <c r="C21" s="96">
        <v>70</v>
      </c>
      <c r="D21" s="96">
        <v>3.3</v>
      </c>
      <c r="E21" s="56" t="s">
        <v>231</v>
      </c>
      <c r="F21" s="56"/>
      <c r="G21" s="56"/>
      <c r="H21" s="56"/>
      <c r="I21" s="56"/>
    </row>
    <row r="22" spans="1:9" ht="16" x14ac:dyDescent="0.15">
      <c r="A22" s="56">
        <v>100</v>
      </c>
      <c r="B22" s="96">
        <v>15.81</v>
      </c>
      <c r="C22" s="96">
        <v>56</v>
      </c>
      <c r="D22" s="96">
        <v>3.3</v>
      </c>
      <c r="E22" s="56" t="s">
        <v>231</v>
      </c>
      <c r="F22" s="56"/>
      <c r="G22" s="56"/>
      <c r="H22" s="56"/>
      <c r="I22" s="56"/>
    </row>
    <row r="23" spans="1:9" ht="16" x14ac:dyDescent="0.15">
      <c r="A23" s="56">
        <v>100</v>
      </c>
      <c r="B23" s="96">
        <v>13.42</v>
      </c>
      <c r="C23" s="96">
        <v>80</v>
      </c>
      <c r="D23" s="96">
        <v>3.3</v>
      </c>
      <c r="E23" s="56" t="s">
        <v>231</v>
      </c>
      <c r="F23" s="56"/>
      <c r="G23" s="56"/>
      <c r="H23" s="56"/>
      <c r="I23" s="56"/>
    </row>
    <row r="24" spans="1:9" ht="16" x14ac:dyDescent="0.15">
      <c r="A24" s="56">
        <v>100</v>
      </c>
      <c r="B24" s="96">
        <v>13.52</v>
      </c>
      <c r="C24" s="96">
        <v>64</v>
      </c>
      <c r="D24" s="96">
        <v>3.3</v>
      </c>
      <c r="E24" s="56" t="s">
        <v>231</v>
      </c>
      <c r="F24" s="56"/>
      <c r="G24" s="56"/>
      <c r="H24" s="56"/>
      <c r="I24" s="56"/>
    </row>
    <row r="25" spans="1:9" ht="16" x14ac:dyDescent="0.15">
      <c r="A25" s="56">
        <v>100</v>
      </c>
      <c r="B25" s="96">
        <v>7.49</v>
      </c>
      <c r="C25" s="96">
        <v>50</v>
      </c>
      <c r="D25" s="96">
        <v>3.3</v>
      </c>
      <c r="E25" s="56" t="s">
        <v>231</v>
      </c>
      <c r="F25" s="56"/>
      <c r="G25" s="56"/>
      <c r="H25" s="56"/>
      <c r="I25" s="56"/>
    </row>
    <row r="26" spans="1:9" ht="16" x14ac:dyDescent="0.15">
      <c r="A26" s="56">
        <v>100</v>
      </c>
      <c r="B26" s="96">
        <v>12.74</v>
      </c>
      <c r="C26" s="96">
        <v>43</v>
      </c>
      <c r="D26" s="96">
        <v>3.3</v>
      </c>
      <c r="E26" s="56" t="s">
        <v>231</v>
      </c>
      <c r="F26" s="56"/>
      <c r="G26" s="56"/>
      <c r="H26" s="56"/>
      <c r="I26" s="56"/>
    </row>
    <row r="27" spans="1:9" ht="16" x14ac:dyDescent="0.15">
      <c r="A27" s="56">
        <v>100</v>
      </c>
      <c r="B27" s="96">
        <v>14.78</v>
      </c>
      <c r="C27" s="96">
        <v>57</v>
      </c>
      <c r="D27" s="96">
        <v>3.3</v>
      </c>
      <c r="E27" s="56" t="s">
        <v>231</v>
      </c>
      <c r="F27" s="56"/>
      <c r="G27" s="56"/>
      <c r="H27" s="56"/>
      <c r="I27" s="56"/>
    </row>
    <row r="28" spans="1:9" ht="16" x14ac:dyDescent="0.15">
      <c r="A28" s="56">
        <v>100</v>
      </c>
      <c r="B28" s="96">
        <v>16.07</v>
      </c>
      <c r="C28" s="96">
        <v>62</v>
      </c>
      <c r="D28" s="96">
        <v>3.3</v>
      </c>
      <c r="E28" s="56" t="s">
        <v>231</v>
      </c>
      <c r="F28" s="56"/>
      <c r="G28" s="56"/>
      <c r="H28" s="56"/>
      <c r="I28" s="56"/>
    </row>
    <row r="29" spans="1:9" ht="16" x14ac:dyDescent="0.15">
      <c r="A29" s="56">
        <v>100</v>
      </c>
      <c r="B29" s="96">
        <v>8.0399999999999991</v>
      </c>
      <c r="C29" s="96">
        <v>63</v>
      </c>
      <c r="D29" s="96">
        <v>3.3</v>
      </c>
      <c r="E29" s="56" t="s">
        <v>231</v>
      </c>
      <c r="F29" s="56"/>
      <c r="G29" s="56"/>
      <c r="H29" s="56"/>
      <c r="I29" s="56"/>
    </row>
    <row r="30" spans="1:9" ht="16" x14ac:dyDescent="0.15">
      <c r="A30" s="56">
        <v>100</v>
      </c>
      <c r="B30" s="96">
        <v>11.69</v>
      </c>
      <c r="C30" s="96">
        <v>64</v>
      </c>
      <c r="D30" s="96">
        <v>3.3</v>
      </c>
      <c r="E30" s="56" t="s">
        <v>231</v>
      </c>
      <c r="F30" s="56"/>
      <c r="G30" s="56"/>
      <c r="H30" s="56"/>
      <c r="I30" s="56"/>
    </row>
    <row r="31" spans="1:9" ht="16" x14ac:dyDescent="0.15">
      <c r="A31" s="56">
        <v>100</v>
      </c>
      <c r="B31" s="96">
        <v>16.61</v>
      </c>
      <c r="C31" s="96">
        <v>21</v>
      </c>
      <c r="D31" s="96">
        <v>3.3</v>
      </c>
      <c r="E31" s="56" t="s">
        <v>231</v>
      </c>
      <c r="F31" s="56"/>
      <c r="G31" s="56"/>
      <c r="H31" s="56"/>
      <c r="I31" s="56"/>
    </row>
    <row r="32" spans="1:9" ht="16" x14ac:dyDescent="0.15">
      <c r="A32" s="56">
        <v>100</v>
      </c>
      <c r="B32" s="96">
        <v>16.170000000000002</v>
      </c>
      <c r="C32" s="96">
        <v>81</v>
      </c>
      <c r="D32" s="96">
        <v>3.3</v>
      </c>
      <c r="E32" s="56" t="s">
        <v>231</v>
      </c>
      <c r="F32" s="56"/>
      <c r="G32" s="56"/>
      <c r="H32" s="56"/>
      <c r="I32" s="56"/>
    </row>
    <row r="33" spans="1:9" ht="16" x14ac:dyDescent="0.15">
      <c r="A33" s="56">
        <v>100</v>
      </c>
      <c r="B33" s="96">
        <v>14.79</v>
      </c>
      <c r="C33" s="96">
        <v>67</v>
      </c>
      <c r="D33" s="96">
        <v>3.3</v>
      </c>
      <c r="E33" s="56" t="s">
        <v>231</v>
      </c>
      <c r="F33" s="56"/>
      <c r="G33" s="56"/>
      <c r="H33" s="56"/>
      <c r="I33" s="56"/>
    </row>
    <row r="34" spans="1:9" ht="16" x14ac:dyDescent="0.15">
      <c r="A34" s="56">
        <v>100</v>
      </c>
      <c r="B34" s="96">
        <v>12.24</v>
      </c>
      <c r="C34" s="96">
        <v>41</v>
      </c>
      <c r="D34" s="96">
        <v>3.3</v>
      </c>
      <c r="E34" s="56" t="s">
        <v>231</v>
      </c>
      <c r="F34" s="57"/>
      <c r="G34" s="57"/>
      <c r="H34" s="57"/>
      <c r="I34" s="56"/>
    </row>
    <row r="35" spans="1:9" ht="16" x14ac:dyDescent="0.15">
      <c r="A35" s="56">
        <v>100</v>
      </c>
      <c r="B35" s="96">
        <v>15.79</v>
      </c>
      <c r="C35" s="96">
        <v>79</v>
      </c>
      <c r="D35" s="96">
        <v>3.3</v>
      </c>
      <c r="E35" s="56" t="s">
        <v>231</v>
      </c>
      <c r="F35" s="57"/>
      <c r="G35" s="57"/>
      <c r="H35" s="57"/>
      <c r="I35" s="56"/>
    </row>
    <row r="36" spans="1:9" ht="16" x14ac:dyDescent="0.15">
      <c r="A36" s="56">
        <v>100</v>
      </c>
      <c r="B36" s="96">
        <v>15.2</v>
      </c>
      <c r="C36" s="96">
        <v>88</v>
      </c>
      <c r="D36" s="96">
        <v>3.3</v>
      </c>
      <c r="E36" s="56" t="s">
        <v>231</v>
      </c>
      <c r="F36" s="57"/>
      <c r="G36" s="57"/>
      <c r="H36" s="57"/>
      <c r="I36" s="56"/>
    </row>
    <row r="37" spans="1:9" ht="16" x14ac:dyDescent="0.15">
      <c r="A37" s="56">
        <v>100</v>
      </c>
      <c r="B37" s="96">
        <v>15.05</v>
      </c>
      <c r="C37" s="96">
        <v>53</v>
      </c>
      <c r="D37" s="96">
        <v>3.3</v>
      </c>
      <c r="E37" s="56" t="s">
        <v>231</v>
      </c>
      <c r="F37" s="57"/>
      <c r="G37" s="57"/>
      <c r="H37" s="57"/>
      <c r="I37" s="56"/>
    </row>
    <row r="38" spans="1:9" ht="16" x14ac:dyDescent="0.15">
      <c r="A38" s="56">
        <v>100</v>
      </c>
      <c r="B38" s="96">
        <v>15.11</v>
      </c>
      <c r="C38" s="96">
        <v>62</v>
      </c>
      <c r="D38" s="96">
        <v>3.3</v>
      </c>
      <c r="E38" s="56" t="s">
        <v>231</v>
      </c>
      <c r="F38" s="57"/>
      <c r="G38" s="57"/>
      <c r="H38" s="57"/>
      <c r="I38" s="56"/>
    </row>
    <row r="39" spans="1:9" ht="16" x14ac:dyDescent="0.15">
      <c r="A39" s="56">
        <v>100</v>
      </c>
      <c r="B39" s="96">
        <v>6.96</v>
      </c>
      <c r="C39" s="96">
        <v>13</v>
      </c>
      <c r="D39" s="96">
        <v>3.3</v>
      </c>
      <c r="E39" s="56" t="s">
        <v>231</v>
      </c>
      <c r="F39" s="57"/>
      <c r="G39" s="57"/>
      <c r="H39" s="57"/>
      <c r="I39" s="56"/>
    </row>
    <row r="40" spans="1:9" ht="16" x14ac:dyDescent="0.15">
      <c r="A40" s="56">
        <v>100</v>
      </c>
      <c r="B40" s="96">
        <v>14.59</v>
      </c>
      <c r="C40" s="96">
        <v>77</v>
      </c>
      <c r="D40" s="96">
        <v>3.3</v>
      </c>
      <c r="E40" s="56" t="s">
        <v>231</v>
      </c>
      <c r="F40" s="57"/>
      <c r="G40" s="57"/>
      <c r="H40" s="57"/>
      <c r="I40" s="56"/>
    </row>
    <row r="41" spans="1:9" ht="16" x14ac:dyDescent="0.15">
      <c r="A41" s="56">
        <v>100</v>
      </c>
      <c r="B41" s="96">
        <v>12.79</v>
      </c>
      <c r="C41" s="96">
        <v>39</v>
      </c>
      <c r="D41" s="96">
        <v>3.3</v>
      </c>
      <c r="E41" s="56" t="s">
        <v>231</v>
      </c>
      <c r="F41" s="57"/>
      <c r="G41" s="57"/>
      <c r="H41" s="57"/>
      <c r="I41" s="56"/>
    </row>
    <row r="42" spans="1:9" ht="16" x14ac:dyDescent="0.15">
      <c r="A42" s="56">
        <v>100</v>
      </c>
      <c r="B42" s="96">
        <v>11.81</v>
      </c>
      <c r="C42" s="96">
        <v>74</v>
      </c>
      <c r="D42" s="96">
        <v>3.3</v>
      </c>
      <c r="E42" s="56" t="s">
        <v>231</v>
      </c>
      <c r="F42" s="57"/>
      <c r="G42" s="57"/>
      <c r="H42" s="57"/>
      <c r="I42" s="56"/>
    </row>
    <row r="43" spans="1:9" ht="16" x14ac:dyDescent="0.15">
      <c r="A43" s="56">
        <v>100</v>
      </c>
      <c r="B43" s="96">
        <v>14.89</v>
      </c>
      <c r="C43" s="96">
        <v>18</v>
      </c>
      <c r="D43" s="96">
        <v>3.3</v>
      </c>
      <c r="E43" s="56" t="s">
        <v>231</v>
      </c>
      <c r="F43" s="57"/>
      <c r="G43" s="57"/>
      <c r="H43" s="57"/>
      <c r="I43" s="56"/>
    </row>
    <row r="44" spans="1:9" ht="16" x14ac:dyDescent="0.15">
      <c r="A44" s="56">
        <v>100</v>
      </c>
      <c r="B44" s="96">
        <v>15.19</v>
      </c>
      <c r="C44" s="96">
        <v>38</v>
      </c>
      <c r="D44" s="96">
        <v>3.3</v>
      </c>
      <c r="E44" s="56" t="s">
        <v>231</v>
      </c>
      <c r="F44" s="57"/>
      <c r="G44" s="57"/>
      <c r="H44" s="57"/>
      <c r="I44" s="56"/>
    </row>
    <row r="45" spans="1:9" ht="16" x14ac:dyDescent="0.15">
      <c r="A45" s="56">
        <v>100</v>
      </c>
      <c r="B45" s="96">
        <v>12.3</v>
      </c>
      <c r="C45" s="96">
        <v>57</v>
      </c>
      <c r="D45" s="96">
        <v>3.3</v>
      </c>
      <c r="E45" s="56" t="s">
        <v>231</v>
      </c>
      <c r="F45" s="57"/>
      <c r="G45" s="57"/>
      <c r="H45" s="57"/>
      <c r="I45" s="56"/>
    </row>
    <row r="46" spans="1:9" ht="16" x14ac:dyDescent="0.15">
      <c r="A46" s="56">
        <v>100</v>
      </c>
      <c r="B46" s="96">
        <v>15.35</v>
      </c>
      <c r="C46" s="96">
        <v>34</v>
      </c>
      <c r="D46" s="96">
        <v>3.3</v>
      </c>
      <c r="E46" s="56" t="s">
        <v>231</v>
      </c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8"/>
  <sheetViews>
    <sheetView workbookViewId="0">
      <selection activeCell="F5" sqref="F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3.33203125" style="21" customWidth="1"/>
    <col min="8" max="8" width="10" style="21"/>
    <col min="9" max="9" width="16.1640625" style="21" customWidth="1"/>
    <col min="10" max="11" width="10" style="21"/>
    <col min="12" max="12" width="13.83203125" style="21" customWidth="1"/>
    <col min="13" max="13" width="14.1640625" style="21" customWidth="1"/>
    <col min="14" max="14" width="15.5" style="21" customWidth="1"/>
    <col min="15" max="16384" width="10" style="21"/>
  </cols>
  <sheetData>
    <row r="1" spans="1:25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2" customFormat="1" x14ac:dyDescent="0.15">
      <c r="A2" s="2" t="s">
        <v>1</v>
      </c>
      <c r="B2" s="23" t="s">
        <v>140</v>
      </c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22" customFormat="1" x14ac:dyDescent="0.15">
      <c r="A3" s="1"/>
      <c r="B3" s="23" t="s">
        <v>141</v>
      </c>
      <c r="C3" s="6"/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22" customFormat="1" x14ac:dyDescent="0.15">
      <c r="A4" s="1"/>
      <c r="B4" s="23" t="s">
        <v>142</v>
      </c>
      <c r="C4" s="6"/>
      <c r="D4" s="6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s="22" customFormat="1" x14ac:dyDescent="0.15">
      <c r="A5" s="1"/>
      <c r="B5" s="84" t="s">
        <v>194</v>
      </c>
      <c r="C5" s="85"/>
      <c r="D5" s="85"/>
      <c r="E5" s="8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9" t="s">
        <v>151</v>
      </c>
      <c r="J9" s="30" t="s">
        <v>152</v>
      </c>
      <c r="K9" s="28" t="s">
        <v>153</v>
      </c>
      <c r="L9" s="28" t="s">
        <v>154</v>
      </c>
      <c r="M9" s="83" t="s">
        <v>189</v>
      </c>
      <c r="N9" s="83" t="s">
        <v>190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s="27" customFormat="1" ht="13" customHeight="1" x14ac:dyDescent="0.15">
      <c r="A10" s="28" t="s">
        <v>155</v>
      </c>
      <c r="B10" s="65"/>
      <c r="C10" s="65"/>
      <c r="D10" s="65"/>
      <c r="E10" s="65"/>
      <c r="F10" s="65"/>
      <c r="G10" s="65"/>
      <c r="H10" s="65"/>
      <c r="I10" s="66" t="s">
        <v>217</v>
      </c>
      <c r="J10" s="67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spans="1:25" s="27" customFormat="1" ht="13" customHeight="1" x14ac:dyDescent="0.15">
      <c r="A11">
        <v>1</v>
      </c>
      <c r="B11" s="31">
        <v>12</v>
      </c>
      <c r="C11" s="31">
        <v>70</v>
      </c>
      <c r="D11" s="31">
        <v>50</v>
      </c>
      <c r="E11" s="88">
        <v>2.2200000000000002</v>
      </c>
      <c r="F11" s="90">
        <v>375586.85446009383</v>
      </c>
      <c r="G11" s="90">
        <v>2190923.3176838807</v>
      </c>
      <c r="H11" s="87">
        <v>0.17142857142857143</v>
      </c>
      <c r="I11" s="31">
        <f>D11*0.000000639</f>
        <v>3.1950000000000004E-5</v>
      </c>
      <c r="J11" s="31">
        <v>26.460426542075854</v>
      </c>
      <c r="K11" s="31">
        <v>6.3346940141197328</v>
      </c>
      <c r="L11" s="89">
        <v>29.453178452790446</v>
      </c>
      <c r="M11" s="89">
        <v>9.3615599691053379</v>
      </c>
      <c r="N11" s="89">
        <f>M11</f>
        <v>9.3615599691053379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s="32" customFormat="1" ht="13" customHeight="1" x14ac:dyDescent="0.15">
      <c r="A12">
        <v>2</v>
      </c>
      <c r="B12" s="31">
        <v>12</v>
      </c>
      <c r="C12" s="31">
        <v>119</v>
      </c>
      <c r="D12" s="31">
        <v>100</v>
      </c>
      <c r="E12" s="88">
        <v>3.31</v>
      </c>
      <c r="F12" s="90">
        <v>187793.42723004692</v>
      </c>
      <c r="G12" s="90">
        <v>1862284.8200312986</v>
      </c>
      <c r="H12" s="87">
        <v>0.10084033613445378</v>
      </c>
      <c r="I12" s="31">
        <f t="shared" ref="I12:I32" si="0">D12*0.000000639</f>
        <v>6.3900000000000008E-5</v>
      </c>
      <c r="J12" s="31">
        <v>22.491362560764475</v>
      </c>
      <c r="K12" s="31">
        <v>4.1501777050670769</v>
      </c>
      <c r="L12" s="89">
        <v>17.341692022233708</v>
      </c>
      <c r="M12" s="89">
        <v>5.3491011472888568</v>
      </c>
      <c r="N12" s="89">
        <f t="shared" ref="N12:N32" si="1">M12</f>
        <v>5.3491011472888568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s="33" customFormat="1" x14ac:dyDescent="0.15">
      <c r="A13">
        <v>3</v>
      </c>
      <c r="B13" s="31">
        <v>12</v>
      </c>
      <c r="C13" s="31">
        <v>124</v>
      </c>
      <c r="D13" s="31">
        <v>80</v>
      </c>
      <c r="E13" s="88">
        <v>3.01</v>
      </c>
      <c r="F13" s="90">
        <v>234741.78403755865</v>
      </c>
      <c r="G13" s="90">
        <v>2425665.1017214395</v>
      </c>
      <c r="H13" s="87">
        <v>9.6774193548387094E-2</v>
      </c>
      <c r="I13" s="31">
        <f t="shared" si="0"/>
        <v>5.1120000000000005E-5</v>
      </c>
      <c r="J13" s="31">
        <v>29.295472243012558</v>
      </c>
      <c r="K13" s="31">
        <v>5.2979072817855775</v>
      </c>
      <c r="L13" s="89">
        <v>16.643332130466604</v>
      </c>
      <c r="M13" s="89">
        <v>5.1245400181218601</v>
      </c>
      <c r="N13" s="89">
        <f t="shared" si="1"/>
        <v>5.1245400181218601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s="33" customFormat="1" x14ac:dyDescent="0.15">
      <c r="A14">
        <v>4</v>
      </c>
      <c r="B14" s="31">
        <v>17</v>
      </c>
      <c r="C14" s="31">
        <v>146</v>
      </c>
      <c r="D14" s="31">
        <v>100</v>
      </c>
      <c r="E14" s="88">
        <v>3.34</v>
      </c>
      <c r="F14" s="90">
        <v>266040.68857589981</v>
      </c>
      <c r="G14" s="90">
        <v>2284820.0312989042</v>
      </c>
      <c r="H14" s="87">
        <v>0.11643835616438357</v>
      </c>
      <c r="I14" s="31">
        <f t="shared" si="0"/>
        <v>6.3900000000000008E-5</v>
      </c>
      <c r="J14" s="31">
        <v>27.594444822450534</v>
      </c>
      <c r="K14" s="31">
        <v>4.6075083570870889</v>
      </c>
      <c r="L14" s="89">
        <v>20.019950046061226</v>
      </c>
      <c r="M14" s="89">
        <v>5.2618413438882108</v>
      </c>
      <c r="N14" s="89">
        <f t="shared" si="1"/>
        <v>5.2618413438882108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s="33" customFormat="1" x14ac:dyDescent="0.15">
      <c r="A15">
        <v>5</v>
      </c>
      <c r="B15" s="31">
        <v>6</v>
      </c>
      <c r="C15" s="31">
        <v>49</v>
      </c>
      <c r="D15" s="31">
        <v>25</v>
      </c>
      <c r="E15" s="88">
        <v>2.7</v>
      </c>
      <c r="F15" s="90">
        <v>375586.85446009383</v>
      </c>
      <c r="G15" s="90">
        <v>3067292.6447574329</v>
      </c>
      <c r="H15" s="87">
        <v>0.12244897959183675</v>
      </c>
      <c r="I15" s="31">
        <f t="shared" si="0"/>
        <v>1.5975000000000002E-5</v>
      </c>
      <c r="J15" s="31">
        <v>37.044597158906193</v>
      </c>
      <c r="K15" s="31">
        <v>10.568043877730156</v>
      </c>
      <c r="L15" s="89">
        <v>21.05170720675553</v>
      </c>
      <c r="M15" s="89">
        <v>9.1878472467626029</v>
      </c>
      <c r="N15" s="89">
        <f t="shared" si="1"/>
        <v>9.1878472467626029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s="33" customFormat="1" x14ac:dyDescent="0.15">
      <c r="A16">
        <v>6</v>
      </c>
      <c r="B16" s="31">
        <v>15</v>
      </c>
      <c r="C16" s="31">
        <v>185</v>
      </c>
      <c r="D16" s="31">
        <v>60</v>
      </c>
      <c r="E16" s="88">
        <v>2.19</v>
      </c>
      <c r="F16" s="90">
        <v>391236.30672926444</v>
      </c>
      <c r="G16" s="90">
        <v>4825247.7829942619</v>
      </c>
      <c r="H16" s="87">
        <v>8.1081081081081072E-2</v>
      </c>
      <c r="I16" s="31">
        <f t="shared" si="0"/>
        <v>3.8340000000000002E-5</v>
      </c>
      <c r="J16" s="31">
        <v>58.275939408143266</v>
      </c>
      <c r="K16" s="31">
        <v>8.6710490067772437</v>
      </c>
      <c r="L16" s="89">
        <v>13.947330761676541</v>
      </c>
      <c r="M16" s="89">
        <v>3.8318062206464418</v>
      </c>
      <c r="N16" s="89">
        <f t="shared" si="1"/>
        <v>3.8318062206464418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s="33" customFormat="1" x14ac:dyDescent="0.15">
      <c r="A17">
        <v>7</v>
      </c>
      <c r="B17" s="31">
        <v>15</v>
      </c>
      <c r="C17" s="31">
        <v>161</v>
      </c>
      <c r="D17" s="31">
        <v>90</v>
      </c>
      <c r="E17" s="88">
        <v>3.33</v>
      </c>
      <c r="F17" s="90">
        <v>260824.20448617631</v>
      </c>
      <c r="G17" s="90">
        <v>2799513.1281516259</v>
      </c>
      <c r="H17" s="87">
        <v>9.3167701863354033E-2</v>
      </c>
      <c r="I17" s="31">
        <f t="shared" si="0"/>
        <v>5.7510000000000003E-5</v>
      </c>
      <c r="J17" s="31">
        <v>33.810545025985817</v>
      </c>
      <c r="K17" s="31">
        <v>5.3825497659819694</v>
      </c>
      <c r="L17" s="89">
        <v>16.023853953265764</v>
      </c>
      <c r="M17" s="89">
        <v>4.425733792765703</v>
      </c>
      <c r="N17" s="89">
        <f t="shared" si="1"/>
        <v>4.425733792765703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s="33" customFormat="1" x14ac:dyDescent="0.15">
      <c r="A18">
        <v>8</v>
      </c>
      <c r="B18" s="31">
        <v>4</v>
      </c>
      <c r="C18" s="31">
        <v>47</v>
      </c>
      <c r="D18" s="31">
        <v>60</v>
      </c>
      <c r="E18" s="88">
        <v>2.2200000000000002</v>
      </c>
      <c r="F18" s="90">
        <v>104329.68179447053</v>
      </c>
      <c r="G18" s="90">
        <v>1225873.7610850285</v>
      </c>
      <c r="H18" s="87">
        <v>8.5106382978723416E-2</v>
      </c>
      <c r="I18" s="31">
        <f t="shared" si="0"/>
        <v>3.8340000000000002E-5</v>
      </c>
      <c r="J18" s="31">
        <v>14.805238660447204</v>
      </c>
      <c r="K18" s="31">
        <v>4.3110080513242108</v>
      </c>
      <c r="L18" s="89">
        <v>14.63896582000223</v>
      </c>
      <c r="M18" s="89">
        <v>7.6723168214426192</v>
      </c>
      <c r="N18" s="89">
        <f t="shared" si="1"/>
        <v>7.6723168214426192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s="33" customFormat="1" x14ac:dyDescent="0.15">
      <c r="A19">
        <v>9</v>
      </c>
      <c r="B19" s="31">
        <v>11</v>
      </c>
      <c r="C19" s="31">
        <v>164</v>
      </c>
      <c r="D19" s="31">
        <v>60</v>
      </c>
      <c r="E19" s="88">
        <v>1.84</v>
      </c>
      <c r="F19" s="90">
        <v>286906.62493479392</v>
      </c>
      <c r="G19" s="90">
        <v>4277516.9535732912</v>
      </c>
      <c r="H19" s="87">
        <v>6.7073170731707321E-2</v>
      </c>
      <c r="I19" s="31">
        <f t="shared" si="0"/>
        <v>3.8340000000000002E-5</v>
      </c>
      <c r="J19" s="31">
        <v>51.660832772624289</v>
      </c>
      <c r="K19" s="31">
        <v>8.1506501705638463</v>
      </c>
      <c r="L19" s="89">
        <v>11.539886256743891</v>
      </c>
      <c r="M19" s="89">
        <v>3.656766915053526</v>
      </c>
      <c r="N19" s="89">
        <f t="shared" si="1"/>
        <v>3.656766915053526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s="33" customFormat="1" x14ac:dyDescent="0.15">
      <c r="A20">
        <v>10</v>
      </c>
      <c r="B20" s="31">
        <v>2</v>
      </c>
      <c r="C20" s="31">
        <v>32</v>
      </c>
      <c r="D20" s="31">
        <v>60</v>
      </c>
      <c r="E20" s="88">
        <v>2.92</v>
      </c>
      <c r="F20" s="90">
        <v>52164.840897235263</v>
      </c>
      <c r="G20" s="90">
        <v>834637.4543557642</v>
      </c>
      <c r="H20" s="87">
        <v>6.25E-2</v>
      </c>
      <c r="I20" s="31">
        <f t="shared" si="0"/>
        <v>3.8340000000000002E-5</v>
      </c>
      <c r="J20" s="31">
        <v>10.080162492219374</v>
      </c>
      <c r="K20" s="31">
        <v>3.5446203512037924</v>
      </c>
      <c r="L20" s="89">
        <v>10.753731719859779</v>
      </c>
      <c r="M20" s="89">
        <v>7.8631526689602209</v>
      </c>
      <c r="N20" s="89">
        <f t="shared" si="1"/>
        <v>7.8631526689602209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s="33" customFormat="1" x14ac:dyDescent="0.15">
      <c r="A21">
        <v>11</v>
      </c>
      <c r="B21" s="31">
        <v>10</v>
      </c>
      <c r="C21" s="31">
        <v>39</v>
      </c>
      <c r="D21" s="90">
        <v>35</v>
      </c>
      <c r="E21" s="88">
        <v>3.65</v>
      </c>
      <c r="F21" s="90">
        <v>447127.20769058797</v>
      </c>
      <c r="G21" s="90">
        <v>1743796.1099932932</v>
      </c>
      <c r="H21" s="87">
        <v>0.25641025641025639</v>
      </c>
      <c r="I21" s="31">
        <f t="shared" si="0"/>
        <v>2.2365E-5</v>
      </c>
      <c r="J21" s="31">
        <v>21.060339492672622</v>
      </c>
      <c r="K21" s="31">
        <v>6.7209157236179058</v>
      </c>
      <c r="L21" s="89">
        <v>44.004160586056969</v>
      </c>
      <c r="M21" s="89">
        <v>15.807709009645386</v>
      </c>
      <c r="N21" s="89">
        <f t="shared" si="1"/>
        <v>15.807709009645386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s="33" customFormat="1" x14ac:dyDescent="0.15">
      <c r="A22">
        <v>12</v>
      </c>
      <c r="B22" s="31">
        <v>6</v>
      </c>
      <c r="C22" s="31">
        <v>64</v>
      </c>
      <c r="D22" s="90">
        <v>40</v>
      </c>
      <c r="E22" s="88">
        <v>3.61</v>
      </c>
      <c r="F22" s="90">
        <v>234741.78403755865</v>
      </c>
      <c r="G22" s="90">
        <v>2503912.3630672926</v>
      </c>
      <c r="H22" s="87">
        <v>9.3749999999999986E-2</v>
      </c>
      <c r="I22" s="31">
        <f t="shared" si="0"/>
        <v>2.5560000000000003E-5</v>
      </c>
      <c r="J22" s="31">
        <v>30.240487476658124</v>
      </c>
      <c r="K22" s="31">
        <v>7.5656540886576318</v>
      </c>
      <c r="L22" s="89">
        <v>16.123877897230869</v>
      </c>
      <c r="M22" s="89">
        <v>6.9482198667329387</v>
      </c>
      <c r="N22" s="89">
        <f t="shared" si="1"/>
        <v>6.9482198667329387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s="33" customFormat="1" x14ac:dyDescent="0.15">
      <c r="A23">
        <v>13</v>
      </c>
      <c r="B23" s="31">
        <v>11</v>
      </c>
      <c r="C23" s="31">
        <v>122</v>
      </c>
      <c r="D23" s="90">
        <v>70</v>
      </c>
      <c r="E23" s="88">
        <v>2.78</v>
      </c>
      <c r="F23" s="90">
        <v>245919.96422982338</v>
      </c>
      <c r="G23" s="90">
        <v>2727475.9669125867</v>
      </c>
      <c r="H23" s="87">
        <v>9.0163934426229511E-2</v>
      </c>
      <c r="I23" s="31">
        <f t="shared" si="0"/>
        <v>4.473E-5</v>
      </c>
      <c r="J23" s="31">
        <v>32.940531001359737</v>
      </c>
      <c r="K23" s="31">
        <v>6.0046767320406769</v>
      </c>
      <c r="L23" s="89">
        <v>15.507858790988145</v>
      </c>
      <c r="M23" s="89">
        <v>4.9652405593309838</v>
      </c>
      <c r="N23" s="89">
        <f t="shared" si="1"/>
        <v>4.9652405593309838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s="33" customFormat="1" x14ac:dyDescent="0.15">
      <c r="A24">
        <v>14</v>
      </c>
      <c r="B24" s="34">
        <v>10</v>
      </c>
      <c r="C24" s="34">
        <v>84</v>
      </c>
      <c r="D24" s="91">
        <v>80</v>
      </c>
      <c r="E24" s="35">
        <v>2.78</v>
      </c>
      <c r="F24" s="92">
        <v>195618.15336463222</v>
      </c>
      <c r="G24" s="92">
        <v>1643192.4882629106</v>
      </c>
      <c r="H24" s="93">
        <v>0.11904761904761905</v>
      </c>
      <c r="I24" s="31">
        <f t="shared" si="0"/>
        <v>5.1120000000000005E-5</v>
      </c>
      <c r="J24" s="37">
        <v>19.845319906556892</v>
      </c>
      <c r="K24" s="34">
        <v>4.3439622925408816</v>
      </c>
      <c r="L24" s="37">
        <v>20.46786491087456</v>
      </c>
      <c r="M24" s="37">
        <v>6.9503839627131114</v>
      </c>
      <c r="N24" s="89">
        <f t="shared" si="1"/>
        <v>6.9503839627131114</v>
      </c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s="33" customFormat="1" x14ac:dyDescent="0.15">
      <c r="A25">
        <v>15</v>
      </c>
      <c r="B25" s="34">
        <v>3</v>
      </c>
      <c r="C25" s="34">
        <v>43</v>
      </c>
      <c r="D25" s="34">
        <v>25</v>
      </c>
      <c r="E25" s="35">
        <v>4.09</v>
      </c>
      <c r="F25" s="92">
        <v>187793.42723004692</v>
      </c>
      <c r="G25" s="92">
        <v>2691705.7902973392</v>
      </c>
      <c r="H25" s="93">
        <v>6.9767441860465115E-2</v>
      </c>
      <c r="I25" s="31">
        <f t="shared" si="0"/>
        <v>1.5975000000000002E-5</v>
      </c>
      <c r="J25" s="37">
        <v>32.508524037407483</v>
      </c>
      <c r="K25" s="34">
        <v>9.8886860054453347</v>
      </c>
      <c r="L25" s="37">
        <v>12.003002192851968</v>
      </c>
      <c r="M25" s="37">
        <v>7.2017598638814349</v>
      </c>
      <c r="N25" s="89">
        <f t="shared" si="1"/>
        <v>7.2017598638814349</v>
      </c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33" customFormat="1" x14ac:dyDescent="0.15">
      <c r="A26">
        <v>16</v>
      </c>
      <c r="B26" s="34">
        <v>6</v>
      </c>
      <c r="C26" s="34">
        <v>49</v>
      </c>
      <c r="D26" s="34">
        <v>24</v>
      </c>
      <c r="E26" s="35">
        <v>3.79</v>
      </c>
      <c r="F26" s="92">
        <v>391236.3067292645</v>
      </c>
      <c r="G26" s="92">
        <v>3195096.5049556596</v>
      </c>
      <c r="H26" s="93">
        <v>0.12244897959183675</v>
      </c>
      <c r="I26" s="31">
        <f t="shared" si="0"/>
        <v>1.5336E-5</v>
      </c>
      <c r="J26" s="37">
        <v>38.588122040527296</v>
      </c>
      <c r="K26" s="34">
        <v>11.00837903930225</v>
      </c>
      <c r="L26" s="37">
        <v>21.05170720675553</v>
      </c>
      <c r="M26" s="37">
        <v>9.1878472467626029</v>
      </c>
      <c r="N26" s="89">
        <f t="shared" si="1"/>
        <v>9.1878472467626029</v>
      </c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s="33" customFormat="1" x14ac:dyDescent="0.15">
      <c r="A27">
        <v>17</v>
      </c>
      <c r="B27" s="34">
        <v>9</v>
      </c>
      <c r="C27" s="34">
        <v>39</v>
      </c>
      <c r="D27" s="34">
        <v>36</v>
      </c>
      <c r="E27" s="35">
        <v>3.08</v>
      </c>
      <c r="F27" s="92">
        <v>391236.30672926444</v>
      </c>
      <c r="G27" s="92">
        <v>1695357.3291601459</v>
      </c>
      <c r="H27" s="93">
        <v>0.23076923076923075</v>
      </c>
      <c r="I27" s="31">
        <f t="shared" si="0"/>
        <v>2.3004000000000002E-5</v>
      </c>
      <c r="J27" s="37">
        <v>20.475330062320602</v>
      </c>
      <c r="K27" s="34">
        <v>6.5342236201840747</v>
      </c>
      <c r="L27" s="37">
        <v>39.617236992395974</v>
      </c>
      <c r="M27" s="37">
        <v>14.831819752142126</v>
      </c>
      <c r="N27" s="89">
        <f t="shared" si="1"/>
        <v>14.831819752142126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33" customFormat="1" x14ac:dyDescent="0.15">
      <c r="A28">
        <v>18</v>
      </c>
      <c r="B28" s="34">
        <v>11</v>
      </c>
      <c r="C28" s="34">
        <v>88</v>
      </c>
      <c r="D28" s="34">
        <v>56</v>
      </c>
      <c r="E28" s="35">
        <v>3.2</v>
      </c>
      <c r="F28" s="92">
        <v>307399.95528727921</v>
      </c>
      <c r="G28" s="92">
        <v>2459199.6422982337</v>
      </c>
      <c r="H28" s="93">
        <v>0.125</v>
      </c>
      <c r="I28" s="31">
        <f t="shared" si="0"/>
        <v>3.5784000000000002E-5</v>
      </c>
      <c r="J28" s="37">
        <v>29.700478771717798</v>
      </c>
      <c r="K28" s="34">
        <v>6.3543575747664125</v>
      </c>
      <c r="L28" s="37">
        <v>21.489554230268254</v>
      </c>
      <c r="M28" s="37">
        <v>6.9859045886910405</v>
      </c>
      <c r="N28" s="89">
        <f t="shared" si="1"/>
        <v>6.9859045886910405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3" customFormat="1" x14ac:dyDescent="0.15">
      <c r="A29">
        <v>19</v>
      </c>
      <c r="B29" s="34">
        <v>10</v>
      </c>
      <c r="C29" s="34">
        <v>107</v>
      </c>
      <c r="D29" s="34">
        <v>60</v>
      </c>
      <c r="E29" s="35">
        <v>3.16</v>
      </c>
      <c r="F29" s="92">
        <v>260824.20448617631</v>
      </c>
      <c r="G29" s="92">
        <v>2790818.9880020865</v>
      </c>
      <c r="H29" s="93">
        <v>9.3457943925233641E-2</v>
      </c>
      <c r="I29" s="31">
        <f t="shared" si="0"/>
        <v>3.8340000000000002E-5</v>
      </c>
      <c r="J29" s="37">
        <v>33.705543333358534</v>
      </c>
      <c r="K29" s="34">
        <v>6.5518324558199863</v>
      </c>
      <c r="L29" s="37">
        <v>16.073710318710795</v>
      </c>
      <c r="M29" s="37">
        <v>5.3973332399049028</v>
      </c>
      <c r="N29" s="89">
        <f t="shared" si="1"/>
        <v>5.3973332399049028</v>
      </c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3" customFormat="1" x14ac:dyDescent="0.15">
      <c r="A30">
        <v>20</v>
      </c>
      <c r="B30" s="34">
        <v>9</v>
      </c>
      <c r="C30" s="34">
        <v>57</v>
      </c>
      <c r="D30" s="34">
        <v>30</v>
      </c>
      <c r="E30" s="35">
        <v>3.23</v>
      </c>
      <c r="F30" s="92">
        <v>469483.56807511736</v>
      </c>
      <c r="G30" s="92">
        <v>2973395.9311424098</v>
      </c>
      <c r="H30" s="93">
        <v>0.15789473684210528</v>
      </c>
      <c r="I30" s="31">
        <f t="shared" si="0"/>
        <v>1.9170000000000001E-5</v>
      </c>
      <c r="J30" s="37">
        <v>35.910578878531517</v>
      </c>
      <c r="K30" s="34">
        <v>9.5106249501728488</v>
      </c>
      <c r="L30" s="37">
        <v>27.132813835794099</v>
      </c>
      <c r="M30" s="37">
        <v>9.8601436665353326</v>
      </c>
      <c r="N30" s="89">
        <f t="shared" si="1"/>
        <v>9.8601436665353326</v>
      </c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3" customFormat="1" x14ac:dyDescent="0.15">
      <c r="A31">
        <v>21</v>
      </c>
      <c r="B31" s="34">
        <v>15</v>
      </c>
      <c r="C31" s="34">
        <v>145</v>
      </c>
      <c r="D31" s="34">
        <v>64</v>
      </c>
      <c r="E31" s="35">
        <v>3.09</v>
      </c>
      <c r="F31" s="92">
        <v>366784.03755868541</v>
      </c>
      <c r="G31" s="92">
        <v>3545579.0297339591</v>
      </c>
      <c r="H31" s="93">
        <v>0.10344827586206896</v>
      </c>
      <c r="I31" s="31">
        <f>D31*0.000000639</f>
        <v>4.0896000000000003E-5</v>
      </c>
      <c r="J31" s="37">
        <v>42.821002774564725</v>
      </c>
      <c r="K31" s="34">
        <v>7.1739442013679744</v>
      </c>
      <c r="L31" s="37">
        <v>17.789565788243756</v>
      </c>
      <c r="M31" s="37">
        <v>4.93544009695366</v>
      </c>
      <c r="N31" s="89">
        <f>M31</f>
        <v>4.93544009695366</v>
      </c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s="33" customFormat="1" x14ac:dyDescent="0.15">
      <c r="A32">
        <v>22</v>
      </c>
      <c r="B32" s="34">
        <v>6</v>
      </c>
      <c r="C32" s="34">
        <v>48</v>
      </c>
      <c r="D32" s="34">
        <v>48</v>
      </c>
      <c r="E32" s="35">
        <v>2.41</v>
      </c>
      <c r="F32" s="92">
        <v>195618.15336463225</v>
      </c>
      <c r="G32" s="92">
        <v>1564945.226917058</v>
      </c>
      <c r="H32" s="93">
        <v>0.125</v>
      </c>
      <c r="I32" s="31">
        <f t="shared" si="0"/>
        <v>3.0672E-5</v>
      </c>
      <c r="J32" s="39">
        <v>18.900304672911329</v>
      </c>
      <c r="K32" s="34">
        <v>5.4467722536972332</v>
      </c>
      <c r="L32" s="37">
        <v>21.489554230268254</v>
      </c>
      <c r="M32" s="37">
        <v>9.3894034777479707</v>
      </c>
      <c r="N32" s="89">
        <f t="shared" si="1"/>
        <v>9.3894034777479707</v>
      </c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s="46" customFormat="1" x14ac:dyDescent="0.15">
      <c r="A33" s="40"/>
      <c r="B33" s="40"/>
      <c r="C33" s="40"/>
      <c r="D33" s="40"/>
      <c r="E33" s="41"/>
      <c r="F33" s="42"/>
      <c r="G33" s="42"/>
      <c r="H33" s="94"/>
      <c r="I33" s="36"/>
      <c r="J33" s="43"/>
      <c r="K33" s="44"/>
      <c r="L33" s="45"/>
      <c r="M33" s="45"/>
      <c r="N33" s="44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x14ac:dyDescent="0.15">
      <c r="A34" s="47"/>
      <c r="B34" s="47"/>
      <c r="C34" s="47"/>
      <c r="D34" s="47"/>
      <c r="E34" s="47"/>
      <c r="F34" s="47"/>
      <c r="G34" s="47"/>
      <c r="H34" s="95"/>
      <c r="I34" s="47"/>
      <c r="J34" s="47"/>
      <c r="K34" s="47"/>
      <c r="L34" s="47"/>
      <c r="M34" s="47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47"/>
    </row>
    <row r="35" spans="1:25" x14ac:dyDescent="0.15">
      <c r="A35" s="47"/>
      <c r="B35" s="47"/>
      <c r="C35" s="47"/>
      <c r="D35" s="47"/>
      <c r="E35" s="47"/>
      <c r="F35" s="47"/>
      <c r="G35" s="47"/>
      <c r="H35" s="95"/>
      <c r="I35" s="47"/>
      <c r="J35" s="47"/>
      <c r="K35" s="47"/>
      <c r="L35" s="47"/>
      <c r="M35" s="47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47"/>
    </row>
    <row r="36" spans="1:25" x14ac:dyDescent="0.15">
      <c r="A36" s="47"/>
      <c r="B36" s="47"/>
      <c r="C36" s="47"/>
      <c r="D36" s="47"/>
      <c r="E36" s="47"/>
      <c r="F36" s="47"/>
      <c r="G36" s="47"/>
      <c r="H36" s="95"/>
      <c r="I36" s="47"/>
      <c r="J36" s="47"/>
      <c r="K36" s="47"/>
      <c r="L36" s="47"/>
      <c r="M36" s="47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47"/>
    </row>
    <row r="37" spans="1:25" x14ac:dyDescent="0.15">
      <c r="A37" s="47"/>
      <c r="B37" s="47"/>
      <c r="C37" s="47"/>
      <c r="D37" s="47"/>
      <c r="E37" s="47"/>
      <c r="F37" s="47"/>
      <c r="G37" s="47"/>
      <c r="H37" s="95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x14ac:dyDescent="0.15">
      <c r="A38" s="47"/>
      <c r="B38" s="47"/>
      <c r="C38" s="47"/>
      <c r="D38" s="47"/>
      <c r="E38" s="47"/>
      <c r="F38" s="47"/>
      <c r="G38" s="47"/>
      <c r="H38" s="95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x14ac:dyDescent="0.1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x14ac:dyDescent="0.1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spans="1:25" x14ac:dyDescent="0.1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spans="1:25" x14ac:dyDescent="0.1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spans="1:25" x14ac:dyDescent="0.1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spans="1:25" x14ac:dyDescent="0.1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spans="1:25" x14ac:dyDescent="0.1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spans="1:25" x14ac:dyDescent="0.1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spans="1:25" x14ac:dyDescent="0.1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spans="1:25" x14ac:dyDescent="0.1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spans="1:25" x14ac:dyDescent="0.1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spans="1:25" x14ac:dyDescent="0.1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spans="1:25" x14ac:dyDescent="0.1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spans="1:25" x14ac:dyDescent="0.1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spans="1:25" x14ac:dyDescent="0.1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spans="1:25" x14ac:dyDescent="0.1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spans="1:25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spans="1:25" x14ac:dyDescent="0.1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spans="1:25" x14ac:dyDescent="0.1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spans="1:25" x14ac:dyDescent="0.1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spans="1:25" x14ac:dyDescent="0.1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spans="1:25" x14ac:dyDescent="0.1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x14ac:dyDescent="0.1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x14ac:dyDescent="0.1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x14ac:dyDescent="0.1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x14ac:dyDescent="0.1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x14ac:dyDescent="0.1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x14ac:dyDescent="0.1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x14ac:dyDescent="0.1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x14ac:dyDescent="0.1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x14ac:dyDescent="0.1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x14ac:dyDescent="0.1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x14ac:dyDescent="0.1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x14ac:dyDescent="0.1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x14ac:dyDescent="0.1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x14ac:dyDescent="0.1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x14ac:dyDescent="0.1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x14ac:dyDescent="0.1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x14ac:dyDescent="0.1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x14ac:dyDescent="0.1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x14ac:dyDescent="0.1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x14ac:dyDescent="0.1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x14ac:dyDescent="0.1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x14ac:dyDescent="0.1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x14ac:dyDescent="0.1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x14ac:dyDescent="0.1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x14ac:dyDescent="0.1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spans="1:25" x14ac:dyDescent="0.1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spans="1:25" x14ac:dyDescent="0.1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spans="1:25" x14ac:dyDescent="0.1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spans="1:25" x14ac:dyDescent="0.1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spans="1:25" x14ac:dyDescent="0.1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spans="1:25" x14ac:dyDescent="0.1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spans="1:25" x14ac:dyDescent="0.1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spans="1:25" x14ac:dyDescent="0.1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spans="1:25" x14ac:dyDescent="0.1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spans="1:25" x14ac:dyDescent="0.1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spans="1:25" x14ac:dyDescent="0.1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spans="1:25" x14ac:dyDescent="0.1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spans="1:25" x14ac:dyDescent="0.1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 x14ac:dyDescent="0.1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 x14ac:dyDescent="0.1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 x14ac:dyDescent="0.1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 x14ac:dyDescent="0.1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 x14ac:dyDescent="0.1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 x14ac:dyDescent="0.1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 x14ac:dyDescent="0.1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 x14ac:dyDescent="0.1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spans="1:25" x14ac:dyDescent="0.1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spans="1:25" x14ac:dyDescent="0.1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spans="1:25" x14ac:dyDescent="0.1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spans="1:25" x14ac:dyDescent="0.1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spans="1:25" x14ac:dyDescent="0.1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spans="1:25" x14ac:dyDescent="0.1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spans="1:25" x14ac:dyDescent="0.1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spans="1:25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spans="1:25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spans="1:25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spans="1:25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spans="1:25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spans="1:25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spans="1:25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spans="1:25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25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spans="1:25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spans="1:25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spans="1:25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spans="1:25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spans="1:25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spans="1:25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spans="1:25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spans="1:25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spans="1:25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spans="1:25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spans="1:25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spans="1:25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spans="1:25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spans="1:25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spans="1:25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spans="1:25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9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Sample-Methods Worksheet</vt:lpstr>
      <vt:lpstr>Length Worksheet</vt:lpstr>
      <vt:lpstr>Age Worksheet</vt:lpstr>
      <vt:lpstr>'Age Worksheet'!Zone_d_impression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Microsoft Office</cp:lastModifiedBy>
  <dcterms:created xsi:type="dcterms:W3CDTF">2014-02-19T18:46:34Z</dcterms:created>
  <dcterms:modified xsi:type="dcterms:W3CDTF">2021-05-04T22:06:07Z</dcterms:modified>
</cp:coreProperties>
</file>